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353e0e60d64e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d757c6ff9e74434"/>
    <x:sheet xmlns:r="http://schemas.openxmlformats.org/officeDocument/2006/relationships" name="Method Summary" sheetId="2" r:id="R1bbea938ed184663"/>
    <x:sheet xmlns:r="http://schemas.openxmlformats.org/officeDocument/2006/relationships" name="Instance Summary" sheetId="3" r:id="Red7106f0d50845bf"/>
    <x:sheet xmlns:r="http://schemas.openxmlformats.org/officeDocument/2006/relationships" name="Scale Summary" sheetId="4" r:id="R22750fbedf9847dd"/>
    <x:sheet xmlns:r="http://schemas.openxmlformats.org/officeDocument/2006/relationships" name="VR vs EV" sheetId="5" r:id="R945d7cae5ee4400b"/>
    <x:sheet xmlns:r="http://schemas.openxmlformats.org/officeDocument/2006/relationships" name="Paired Comparison" sheetId="6" r:id="R1f2be3abfd654016"/>
    <x:sheet xmlns:r="http://schemas.openxmlformats.org/officeDocument/2006/relationships" name="Run Data" sheetId="7" r:id="R37c8947fa24147c2"/>
    <x:sheet xmlns:r="http://schemas.openxmlformats.org/officeDocument/2006/relationships" name="Protocol" sheetId="8" r:id="Rdea8443998504a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00"/>
    <x:numFmt numFmtId="201" formatCode="0"/>
    <x:numFmt numFmtId="202" formatCode="0.000"/>
    <x:numFmt numFmtId="203" formatCode="0.0%"/>
    <x:numFmt numFmtId="204" formatCode="0.00&quot;x&quot;"/>
    <x:numFmt numFmtId="205" formatCode="0.00 &quot;s&quot;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7C4A03"/>
      <x:name val="Carlito"/>
    </x:font>
    <x:font>
      <x:i/>
      <x:sz val="11"/>
      <x:color rgb="FF17365D"/>
      <x:name val="Carlito"/>
    </x:font>
    <x:font>
      <x:b/>
      <x:sz val="11"/>
      <x:color rgb="FF17365D"/>
      <x:name val="Carlito"/>
    </x:font>
    <x:font>
      <x:b/>
      <x:sz val="14"/>
      <x:color rgb="FF1F2937"/>
      <x:name val="Carlito"/>
    </x:font>
    <x:font>
      <x:b/>
      <x:sz val="12"/>
      <x:color rgb="FF1736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766E"/>
      </x:patternFill>
    </x:fill>
    <x:fill>
      <x:patternFill patternType="solid">
        <x:fgColor rgb="FFFFF4E5"/>
      </x:patternFill>
    </x:fill>
    <x:fill>
      <x:patternFill patternType="solid">
        <x:fgColor rgb="FFDCE6F1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</x:fills>
  <x:borders count="6">
    <x:border/>
    <x:border>
      <x:bottom style="medium">
        <x:color rgb="FF0B5F59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bottom style="thin">
        <x:color rgb="FF9FBAD0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2" xfId="0" applyNumberFormat="1" applyFont="1" applyFill="1" applyBorder="1"/>
    <x:xf numFmtId="0" fontId="7" fillId="7" borderId="3" xfId="0" applyNumberFormat="1" applyFont="1" applyFill="1" applyBorder="1"/>
    <x:xf numFmtId="0" fontId="7" fillId="7" borderId="4" xfId="0" applyNumberFormat="1" applyFont="1" applyFill="1" applyBorder="1"/>
    <x:xf numFmtId="0" fontId="7" fillId="7" borderId="2" xfId="0" applyNumberFormat="1" applyFont="1" applyFill="1" applyBorder="1" applyAlignment="1">
      <x:alignment horizontal="center"/>
    </x:xf>
    <x:xf numFmtId="0" fontId="7" fillId="7" borderId="3" xfId="0" applyNumberFormat="1" applyFont="1" applyFill="1" applyBorder="1" applyAlignment="1">
      <x:alignment horizontal="center"/>
    </x:xf>
    <x:xf numFmtId="0" fontId="7" fillId="7" borderId="4" xfId="0" applyNumberFormat="1" applyFont="1" applyFill="1" applyBorder="1" applyAlignment="1">
      <x:alignment horizontal="center"/>
    </x:xf>
    <x:xf numFmtId="201" fontId="7" fillId="7" borderId="2" xfId="0" applyNumberFormat="1" applyFont="1" applyFill="1" applyBorder="1" applyAlignment="1">
      <x:alignment horizontal="center"/>
    </x:xf>
    <x:xf numFmtId="201" fontId="7" fillId="7" borderId="3" xfId="0" applyNumberFormat="1" applyFont="1" applyFill="1" applyBorder="1" applyAlignment="1">
      <x:alignment horizontal="center"/>
    </x:xf>
    <x:xf numFmtId="203" fontId="7" fillId="7" borderId="3" xfId="0" applyNumberFormat="1" applyFont="1" applyFill="1" applyBorder="1" applyAlignment="1">
      <x:alignment horizontal="center"/>
    </x:xf>
    <x:xf numFmtId="205" fontId="7" fillId="7" borderId="3" xfId="0" applyNumberFormat="1" applyFont="1" applyFill="1" applyBorder="1" applyAlignment="1">
      <x:alignment horizontal="center"/>
    </x:xf>
    <x:xf numFmtId="203" fontId="7" fillId="7" borderId="4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/>
    <x:xf numFmtId="0" fontId="8" fillId="6" borderId="5" xfId="0" applyNumberFormat="1" applyFont="1" applyFill="1" applyBorder="1"/>
  </x:cellXfs>
  <x:cellStyles count="1">
    <x:cellStyle name="Normal" xfId="0"/>
  </x:cellStyles>
  <x:dxfs count="4">
    <x:dxf>
      <x:font>
        <x:b/>
        <x:color rgb="FF0F766E"/>
      </x:font>
      <x:fill>
        <x:patternFill patternType="solid">
          <x:bgColor rgb="FFE7F4F1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7C4A03"/>
      </x:font>
      <x:fill>
        <x:patternFill patternType="solid">
          <x:bgColor rgb="FFFFF4E5"/>
        </x:patternFill>
      </x:fill>
    </x:dxf>
    <x:dxf>
      <x:font>
        <x:b/>
        <x:color rgb="FF17365D"/>
      </x:font>
      <x:fill>
        <x:patternFill patternType="solid">
          <x:bgColor rgb="FFEAF2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7e67600a7949a8" /><Relationship Type="http://schemas.openxmlformats.org/officeDocument/2006/relationships/theme" Target="/xl/theme/theme1.xml" Id="R6a0c67aa14914a31" /><Relationship Type="http://schemas.microsoft.com/office/2022/11/relationships/FeaturePropertyBag" Target="/xl/featurePropertyBag/featurePropertyBag.xml" Id="Rf8cc77f1d78c4f49" /><Relationship Type="http://schemas.openxmlformats.org/officeDocument/2006/relationships/sharedStrings" Target="/xl/sharedStrings.xml" Id="R4fe13e0fd1e94e02" /><Relationship Type="http://schemas.openxmlformats.org/officeDocument/2006/relationships/worksheet" Target="/xl/worksheets/sheet1.xml" Id="Rdd757c6ff9e74434" /><Relationship Type="http://schemas.openxmlformats.org/officeDocument/2006/relationships/worksheet" Target="/xl/worksheets/sheet2.xml" Id="R1bbea938ed184663" /><Relationship Type="http://schemas.openxmlformats.org/officeDocument/2006/relationships/worksheet" Target="/xl/worksheets/sheet3.xml" Id="Red7106f0d50845bf" /><Relationship Type="http://schemas.openxmlformats.org/officeDocument/2006/relationships/worksheet" Target="/xl/worksheets/sheet4.xml" Id="R22750fbedf9847dd" /><Relationship Type="http://schemas.openxmlformats.org/officeDocument/2006/relationships/worksheet" Target="/xl/worksheets/sheet5.xml" Id="R945d7cae5ee4400b" /><Relationship Type="http://schemas.openxmlformats.org/officeDocument/2006/relationships/worksheet" Target="/xl/worksheets/sheet6.xml" Id="R1f2be3abfd654016" /><Relationship Type="http://schemas.openxmlformats.org/officeDocument/2006/relationships/worksheet" Target="/xl/worksheets/sheet7.xml" Id="R37c8947fa24147c2" /><Relationship Type="http://schemas.openxmlformats.org/officeDocument/2006/relationships/worksheet" Target="/xl/worksheets/sheet8.xml" Id="Rdea8443998504a9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6e4ab4e82b84062" /><Relationship Type="http://schemas.openxmlformats.org/officeDocument/2006/relationships/chart" Target="/xl/drawings/charts/chart2.xml" Id="R62d1495ed8ca414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runtime by variant (seconds)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Average runtime (s)</c:v>
          </c:tx>
          <c:spPr>
            <a:solidFill xmlns:a="http://schemas.openxmlformats.org/drawingml/2006/main">
              <a:srgbClr val="0F766E"/>
            </a:solidFill>
          </c:spPr>
          <c:cat>
            <c:strRef>
              <c:f>'Method Summary'!$A$2:$A$6</c:f>
              <c:strCache>
                <c:ptCount val="0"/>
              </c:strCache>
            </c:strRef>
          </c:cat>
          <c:val>
            <c:numRef>
              <c:f>'Method Summary'!$F$2:$F$6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Full method wins most often when local search is removed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Full wins</c:v>
          </c:tx>
          <c:cat>
            <c:strRef>
              <c:f>'Dashboard'!$A$17:$A$19</c:f>
              <c:strCache>
                <c:ptCount val="0"/>
              </c:strCache>
            </c:strRef>
          </c:cat>
          <c:val>
            <c:numRef>
              <c:f>'Dashboard'!$B$17:$B$19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Ties</c:v>
          </c:tx>
          <c:cat>
            <c:strRef>
              <c:f>'Dashboard'!$A$17:$A$19</c:f>
              <c:strCache>
                <c:ptCount val="0"/>
              </c:strCache>
            </c:strRef>
          </c:cat>
          <c:val>
            <c:numRef>
              <c:f>'Dashboard'!$C$17:$C$19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Full losses</c:v>
          </c:tx>
          <c:cat>
            <c:strRef>
              <c:f>'Dashboard'!$A$17:$A$19</c:f>
              <c:strCache>
                <c:ptCount val="0"/>
              </c:strCache>
            </c:strRef>
          </c:cat>
          <c:val>
            <c:numRef>
              <c:f>'Dashboard'!$D$17:$D$19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14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e4ab4e82b84062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d1495ed8ca4143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3" name="MethodSummaryTable" displayName="MethodSummaryTable" ref="A1:M6" headerRowCount="1" totalsRowCount="0" totalsRowShown="0">
  <x:tableColumns count="13">
    <x:tableColumn id="1" name="Variant"/>
    <x:tableColumn id="2" name="Runs"/>
    <x:tableColumn id="3" name="Feasible rate"/>
    <x:tableColumn id="4" name="Avg vehicles"/>
    <x:tableColumn id="5" name="Avg distance*"/>
    <x:tableColumn id="6" name="Avg runtime (s)"/>
    <x:tableColumn id="7" name="Total runtime (s)"/>
    <x:tableColumn id="8" name="Avg improving"/>
    <x:tableColumn id="9" name="Avg neutral"/>
    <x:tableColumn id="10" name="Avg accepted worse"/>
    <x:tableColumn id="11" name="Avg neutral rate"/>
    <x:tableColumn id="12" name="Best at initial"/>
    <x:tableColumn id="13" name="Seed-diverse instanc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stanceSummaryTable" displayName="InstanceSummaryTable" ref="A1:Q91" headerRowCount="1" totalsRowCount="0" totalsRowShown="0">
  <x:tableColumns count="17">
    <x:tableColumn id="1" name="Variant"/>
    <x:tableColumn id="2" name="Instance"/>
    <x:tableColumn id="3" name="Family"/>
    <x:tableColumn id="4" name="Customers"/>
    <x:tableColumn id="5" name="Runs"/>
    <x:tableColumn id="6" name="Avg vehicles"/>
    <x:tableColumn id="7" name="SD vehicles"/>
    <x:tableColumn id="8" name="Avg distance"/>
    <x:tableColumn id="9" name="SD distance"/>
    <x:tableColumn id="10" name="Best vehicles"/>
    <x:tableColumn id="11" name="Best distance"/>
    <x:tableColumn id="12" name="Feasible runs"/>
    <x:tableColumn id="13" name="Avg runtime (s)"/>
    <x:tableColumn id="14" name="Seed diverse"/>
    <x:tableColumn id="15" name="Avg station visits"/>
    <x:tableColumn id="16" name="Avg minimum battery"/>
    <x:tableColumn id="17" name="Avg neutral r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ScaleSummaryTable" displayName="ScaleSummaryTable" ref="A1:I16" headerRowCount="1" totalsRowCount="0" totalsRowShown="0">
  <x:tableColumns count="9">
    <x:tableColumn id="1" name="Variant"/>
    <x:tableColumn id="2" name="Customers"/>
    <x:tableColumn id="3" name="Runs"/>
    <x:tableColumn id="4" name="Feasible rate"/>
    <x:tableColumn id="5" name="Avg vehicles"/>
    <x:tableColumn id="6" name="Avg distance*"/>
    <x:tableColumn id="7" name="Avg runtime (s)"/>
    <x:tableColumn id="8" name="Avg station visits"/>
    <x:tableColumn id="9" name="Avg neutral r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MainComparisonTable" displayName="MainComparisonTable" ref="A1:P55" headerRowCount="1" totalsRowCount="0" totalsRowShown="0">
  <x:tableColumns count="16">
    <x:tableColumn id="1" name="Instance"/>
    <x:tableColumn id="2" name="Seed"/>
    <x:tableColumn id="3" name="Customers"/>
    <x:tableColumn id="4" name="VR vehicles"/>
    <x:tableColumn id="5" name="EV vehicles"/>
    <x:tableColumn id="6" name="Vehicle delta EV-VR"/>
    <x:tableColumn id="7" name="Vehicle relation"/>
    <x:tableColumn id="8" name="VR distance"/>
    <x:tableColumn id="9" name="EV distance"/>
    <x:tableColumn id="10" name="Distance delta if same vehicles"/>
    <x:tableColumn id="11" name="Distance relation"/>
    <x:tableColumn id="12" name="VR energy violation"/>
    <x:tableColumn id="13" name="EV station visits"/>
    <x:tableColumn id="14" name="VR runtime (s)"/>
    <x:tableColumn id="15" name="EV runtime (s)"/>
    <x:tableColumn id="16" name="Runtime ratio EV/V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iredComparisonTable" displayName="PairedComparisonTable" ref="A1:K163" headerRowCount="1" totalsRowCount="0" totalsRowShown="0">
  <x:tableColumns count="11">
    <x:tableColumn id="1" name="Ablation"/>
    <x:tableColumn id="2" name="Instance"/>
    <x:tableColumn id="3" name="Seed"/>
    <x:tableColumn id="4" name="Full vehicles"/>
    <x:tableColumn id="5" name="Full distance"/>
    <x:tableColumn id="6" name="Ablation vehicles"/>
    <x:tableColumn id="7" name="Ablation distance"/>
    <x:tableColumn id="8" name="Outcome"/>
    <x:tableColumn id="9" name="Distance delta if same vehicles"/>
    <x:tableColumn id="10" name="Full runtime (s)"/>
    <x:tableColumn id="11" name="Ablation runtime (s)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" name="RunDataTable" displayName="RunDataTable" ref="A1:AH271" headerRowCount="1" totalsRowCount="0" totalsRowShown="0">
  <x:tableColumns count="34">
    <x:tableColumn id="1" name="Source file"/>
    <x:tableColumn id="2" name="Variant"/>
    <x:tableColumn id="3" name="Method"/>
    <x:tableColumn id="4" name="Instance"/>
    <x:tableColumn id="5" name="Seed"/>
    <x:tableColumn id="6" name="Family"/>
    <x:tableColumn id="7" name="Customers"/>
    <x:tableColumn id="8" name="Feasible (1/0)"/>
    <x:tableColumn id="9" name="Vehicles"/>
    <x:tableColumn id="10" name="Distance"/>
    <x:tableColumn id="11" name="Runtime (s)"/>
    <x:tableColumn id="12" name="Iterations"/>
    <x:tableColumn id="13" name="Best iteration"/>
    <x:tableColumn id="14" name="Accepted"/>
    <x:tableColumn id="15" name="Improving"/>
    <x:tableColumn id="16" name="Neutral"/>
    <x:tableColumn id="17" name="Accepted worse"/>
    <x:tableColumn id="18" name="Neutral rate"/>
    <x:tableColumn id="19" name="Termination"/>
    <x:tableColumn id="20" name="Time limit hit"/>
    <x:tableColumn id="21" name="Missing customers"/>
    <x:tableColumn id="22" name="Duplicate customers"/>
    <x:tableColumn id="23" name="Late customers"/>
    <x:tableColumn id="24" name="Route structure violation"/>
    <x:tableColumn id="25" name="Capacity violation"/>
    <x:tableColumn id="26" name="Time-window violation"/>
    <x:tableColumn id="27" name="Energy violation"/>
    <x:tableColumn id="28" name="Minimum battery"/>
    <x:tableColumn id="29" name="Station visits"/>
    <x:tableColumn id="30" name="Charging time"/>
    <x:tableColumn id="31" name="Waiting time"/>
    <x:tableColumn id="32" name="Destroy weights"/>
    <x:tableColumn id="33" name="Repair weights"/>
    <x:tableColumn id="34" name="Rou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0195d1697a644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bf9c44f7d240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ca051743e94a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233c4ce26542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3891474c454e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3023fbeab284e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cd34f085cc4e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8" hidden="0" customWidth="1"/>
    <x:col min="6" max="6" width="18" hidden="0" customWidth="1"/>
    <x:col min="7" max="7" width="18" hidden="0" customWidth="1"/>
    <x:col min="8" max="8" width="3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4" t="str">
        <x:v>Week 6 ALNS–EVRPTW Experiment Analysis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29" t="str">
        <x:v>Formal fixed-1000-iteration results; lexicographic objective: vehicles first, distance second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</x:row>
    <x:row r="4">
      <x:c r="A4" s="32" t="str">
        <x:v>Formal runs</x:v>
      </x:c>
      <x:c r="B4" s="32"/>
      <x:c r="C4" s="32" t="str">
        <x:v>EV feasible rate</x:v>
      </x:c>
      <x:c r="D4" s="32"/>
      <x:c r="E4" s="32" t="str">
        <x:v>Full EV avg runtime</x:v>
      </x:c>
      <x:c r="F4" s="32"/>
      <x:c r="G4" s="32" t="str">
        <x:v>Full EV neutral rate</x:v>
      </x:c>
      <x:c r="H4" s="32"/>
    </x:row>
    <x:row r="5">
      <x:c r="A5" s="41" t="n">
        <x:f>SUM('Method Summary'!B2:B6)</x:f>
        <x:v>270</x:v>
      </x:c>
      <x:c r="B5" s="42"/>
      <x:c r="C5" s="43" t="n">
        <x:f>AVERAGE('Method Summary'!C3:C6)</x:f>
        <x:v>1</x:v>
      </x:c>
      <x:c r="D5" s="43"/>
      <x:c r="E5" s="44" t="n">
        <x:f>'Method Summary'!F3</x:f>
        <x:v>42.89570759259259</x:v>
      </x:c>
      <x:c r="F5" s="44"/>
      <x:c r="G5" s="43" t="n">
        <x:f>'Method Summary'!K3</x:f>
        <x:v>0.956462962962963</x:v>
      </x:c>
      <x:c r="H5" s="45"/>
    </x:row>
    <x:row r="7">
      <x:c r="A7" s="47" t="str">
        <x:v>Method overview</x:v>
      </x:c>
      <x:c r="B7" s="47"/>
      <x:c r="C7" s="47"/>
      <x:c r="D7" s="47"/>
      <x:c r="E7" s="47"/>
      <x:c r="F7" s="47"/>
      <x:c r="G7" s="47"/>
      <x:c r="H7" s="47"/>
    </x:row>
    <x:row r="8" ht="28" customHeight="1">
      <x:c r="A8" s="10" t="str">
        <x:v>Variant</x:v>
      </x:c>
      <x:c r="B8" s="10" t="str">
        <x:v>Runs</x:v>
      </x:c>
      <x:c r="C8" s="10" t="str">
        <x:v>Feasible</x:v>
      </x:c>
      <x:c r="D8" s="10" t="str">
        <x:v>Avg vehicles</x:v>
      </x:c>
      <x:c r="E8" s="10" t="str">
        <x:v>Avg runtime (s)</x:v>
      </x:c>
      <x:c r="F8" s="10" t="str">
        <x:v>Neutral rate</x:v>
      </x:c>
      <x:c r="G8" s="10" t="str">
        <x:v>Seed-diverse instances</x:v>
      </x:c>
    </x:row>
    <x:row r="9">
      <x:c r="A9" t="str">
        <x:f>'Method Summary'!A2</x:f>
        <x:v>ALNS_VRPTW</x:v>
      </x:c>
      <x:c r="B9" s="15" t="n">
        <x:f>'Method Summary'!B2</x:f>
        <x:v>54</x:v>
      </x:c>
      <x:c r="C9" s="17" t="n">
        <x:f>'Method Summary'!C2</x:f>
        <x:v>1</x:v>
      </x:c>
      <x:c r="D9" s="16" t="n">
        <x:f>'Method Summary'!D2</x:f>
        <x:v>1.7222222222222223</x:v>
      </x:c>
      <x:c r="E9" s="16" t="n">
        <x:f>'Method Summary'!F2</x:f>
        <x:v>2.3905330555555557</x:v>
      </x:c>
      <x:c r="F9" s="17" t="n">
        <x:f>'Method Summary'!K2</x:f>
        <x:v>0.936925925925926</x:v>
      </x:c>
      <x:c r="G9" s="15" t="n">
        <x:f>'Method Summary'!M2</x:f>
        <x:v>0</x:v>
      </x:c>
    </x:row>
    <x:row r="10">
      <x:c r="A10" t="str">
        <x:f>'Method Summary'!A3</x:f>
        <x:v>Full_ALNS_EVRPTW</x:v>
      </x:c>
      <x:c r="B10" s="15" t="n">
        <x:f>'Method Summary'!B3</x:f>
        <x:v>54</x:v>
      </x:c>
      <x:c r="C10" s="17" t="n">
        <x:f>'Method Summary'!C3</x:f>
        <x:v>1</x:v>
      </x:c>
      <x:c r="D10" s="16" t="n">
        <x:f>'Method Summary'!D3</x:f>
        <x:v>2.2962962962962963</x:v>
      </x:c>
      <x:c r="E10" s="16" t="n">
        <x:f>'Method Summary'!F3</x:f>
        <x:v>42.89570759259259</x:v>
      </x:c>
      <x:c r="F10" s="17" t="n">
        <x:f>'Method Summary'!K3</x:f>
        <x:v>0.956462962962963</x:v>
      </x:c>
      <x:c r="G10" s="15" t="n">
        <x:f>'Method Summary'!M3</x:f>
        <x:v>2</x:v>
      </x:c>
    </x:row>
    <x:row r="11">
      <x:c r="A11" t="str">
        <x:f>'Method Summary'!A4</x:f>
        <x:v>No_Adaptive</x:v>
      </x:c>
      <x:c r="B11" s="15" t="n">
        <x:f>'Method Summary'!B4</x:f>
        <x:v>54</x:v>
      </x:c>
      <x:c r="C11" s="17" t="n">
        <x:f>'Method Summary'!C4</x:f>
        <x:v>1</x:v>
      </x:c>
      <x:c r="D11" s="16" t="n">
        <x:f>'Method Summary'!D4</x:f>
        <x:v>2.2962962962962963</x:v>
      </x:c>
      <x:c r="E11" s="16" t="n">
        <x:f>'Method Summary'!F4</x:f>
        <x:v>40.32673724074074</x:v>
      </x:c>
      <x:c r="F11" s="17" t="n">
        <x:f>'Method Summary'!K4</x:f>
        <x:v>0.9503518518518517</x:v>
      </x:c>
      <x:c r="G11" s="15" t="n">
        <x:f>'Method Summary'!M4</x:f>
        <x:v>3</x:v>
      </x:c>
    </x:row>
    <x:row r="12">
      <x:c r="A12" t="str">
        <x:f>'Method Summary'!A5</x:f>
        <x:v>No_SA</x:v>
      </x:c>
      <x:c r="B12" s="15" t="n">
        <x:f>'Method Summary'!B5</x:f>
        <x:v>54</x:v>
      </x:c>
      <x:c r="C12" s="17" t="n">
        <x:f>'Method Summary'!C5</x:f>
        <x:v>1</x:v>
      </x:c>
      <x:c r="D12" s="16" t="n">
        <x:f>'Method Summary'!D5</x:f>
        <x:v>2.2962962962962963</x:v>
      </x:c>
      <x:c r="E12" s="16" t="n">
        <x:f>'Method Summary'!F5</x:f>
        <x:v>44.42885716666667</x:v>
      </x:c>
      <x:c r="F12" s="17" t="n">
        <x:f>'Method Summary'!K5</x:f>
        <x:v>0.9500000000000002</x:v>
      </x:c>
      <x:c r="G12" s="15" t="n">
        <x:f>'Method Summary'!M5</x:f>
        <x:v>3</x:v>
      </x:c>
    </x:row>
    <x:row r="13">
      <x:c r="A13" t="str">
        <x:f>'Method Summary'!A6</x:f>
        <x:v>No_Local_Search</x:v>
      </x:c>
      <x:c r="B13" s="15" t="n">
        <x:f>'Method Summary'!B6</x:f>
        <x:v>54</x:v>
      </x:c>
      <x:c r="C13" s="17" t="n">
        <x:f>'Method Summary'!C6</x:f>
        <x:v>1</x:v>
      </x:c>
      <x:c r="D13" s="16" t="n">
        <x:f>'Method Summary'!D6</x:f>
        <x:v>2.2962962962962963</x:v>
      </x:c>
      <x:c r="E13" s="16" t="n">
        <x:f>'Method Summary'!F6</x:f>
        <x:v>22.615659759259255</x:v>
      </x:c>
      <x:c r="F13" s="17" t="n">
        <x:f>'Method Summary'!K6</x:f>
        <x:v>0.9475740740740741</x:v>
      </x:c>
      <x:c r="G13" s="15" t="n">
        <x:f>'Method Summary'!M6</x:f>
        <x:v>4</x:v>
      </x:c>
    </x:row>
    <x:row r="15">
      <x:c r="A15" s="47" t="str">
        <x:v>Paired ablation results against Full ALNS–EVRPTW</x:v>
      </x:c>
      <x:c r="B15" s="47"/>
      <x:c r="C15" s="47"/>
      <x:c r="D15" s="47"/>
      <x:c r="E15" s="47"/>
      <x:c r="F15" s="47"/>
      <x:c r="G15" s="47"/>
      <x:c r="H15" s="47"/>
    </x:row>
    <x:row r="16" ht="28" customHeight="1">
      <x:c r="A16" s="10" t="str">
        <x:v>Ablation</x:v>
      </x:c>
      <x:c r="B16" s="10" t="str">
        <x:v>Full wins</x:v>
      </x:c>
      <x:c r="C16" s="10" t="str">
        <x:v>Ties</x:v>
      </x:c>
      <x:c r="D16" s="10" t="str">
        <x:v>Full losses</x:v>
      </x:c>
      <x:c r="E16" s="10" t="str">
        <x:v>Ablation avg runtime</x:v>
      </x:c>
      <x:c r="F16" s="10" t="str">
        <x:v>Runtime change vs full</x:v>
      </x:c>
      <x:c r="G16" s="10" t="str">
        <x:v>Mean distance delta*</x:v>
      </x:c>
    </x:row>
    <x:row r="17">
      <x:c r="A17" t="str">
        <x:v>No_Adaptive</x:v>
      </x:c>
      <x:c r="B17" s="15" t="n">
        <x:f>COUNTIFS('Paired Comparison'!$A$2:$A$163,A17,'Paired Comparison'!$H$2:$H$163,"Full better")</x:f>
        <x:v>4</x:v>
      </x:c>
      <x:c r="C17" s="15" t="n">
        <x:f>COUNTIFS('Paired Comparison'!$A$2:$A$163,A17,'Paired Comparison'!$H$2:$H$163,"Tie")</x:f>
        <x:v>48</x:v>
      </x:c>
      <x:c r="D17" s="15" t="n">
        <x:f>COUNTIFS('Paired Comparison'!$A$2:$A$163,A17,'Paired Comparison'!$H$2:$H$163,"Ablation better")</x:f>
        <x:v>2</x:v>
      </x:c>
      <x:c r="E17" s="16" t="n">
        <x:f>AVERAGEIF('Paired Comparison'!$A$2:$A$163,A17,'Paired Comparison'!$K$2:$K$163)</x:f>
        <x:v>40.32673724074074</x:v>
      </x:c>
      <x:c r="F17" s="17" t="n">
        <x:f>E17/'Method Summary'!$F$3-1</x:f>
        <x:v>-0.0598887510202879</x:v>
      </x:c>
      <x:c r="G17" s="16" t="n">
        <x:f>AVERAGEIF('Paired Comparison'!$A$2:$A$163,A17,'Paired Comparison'!$I$2:$I$163)</x:f>
        <x:v>2.4564435384615377</x:v>
      </x:c>
    </x:row>
    <x:row r="18">
      <x:c r="A18" t="str">
        <x:v>No_SA</x:v>
      </x:c>
      <x:c r="B18" s="15" t="n">
        <x:f>COUNTIFS('Paired Comparison'!$A$2:$A$163,A18,'Paired Comparison'!$H$2:$H$163,"Full better")</x:f>
        <x:v>4</x:v>
      </x:c>
      <x:c r="C18" s="15" t="n">
        <x:f>COUNTIFS('Paired Comparison'!$A$2:$A$163,A18,'Paired Comparison'!$H$2:$H$163,"Tie")</x:f>
        <x:v>49</x:v>
      </x:c>
      <x:c r="D18" s="15" t="n">
        <x:f>COUNTIFS('Paired Comparison'!$A$2:$A$163,A18,'Paired Comparison'!$H$2:$H$163,"Ablation better")</x:f>
        <x:v>1</x:v>
      </x:c>
      <x:c r="E18" s="16" t="n">
        <x:f>AVERAGEIF('Paired Comparison'!$A$2:$A$163,A18,'Paired Comparison'!$K$2:$K$163)</x:f>
        <x:v>44.42885716666667</x:v>
      </x:c>
      <x:c r="F18" s="17" t="n">
        <x:f>E18/'Method Summary'!$F$3-1</x:f>
        <x:v>0.03574132844794997</x:v>
      </x:c>
      <x:c r="G18" s="16" t="n">
        <x:f>AVERAGEIF('Paired Comparison'!$A$2:$A$163,A18,'Paired Comparison'!$I$2:$I$163)</x:f>
        <x:v>3.7346900370370375</x:v>
      </x:c>
    </x:row>
    <x:row r="19">
      <x:c r="A19" t="str">
        <x:v>No_Local_Search</x:v>
      </x:c>
      <x:c r="B19" s="15" t="n">
        <x:f>COUNTIFS('Paired Comparison'!$A$2:$A$163,A19,'Paired Comparison'!$H$2:$H$163,"Full better")</x:f>
        <x:v>7</x:v>
      </x:c>
      <x:c r="C19" s="15" t="n">
        <x:f>COUNTIFS('Paired Comparison'!$A$2:$A$163,A19,'Paired Comparison'!$H$2:$H$163,"Tie")</x:f>
        <x:v>45</x:v>
      </x:c>
      <x:c r="D19" s="15" t="n">
        <x:f>COUNTIFS('Paired Comparison'!$A$2:$A$163,A19,'Paired Comparison'!$H$2:$H$163,"Ablation better")</x:f>
        <x:v>2</x:v>
      </x:c>
      <x:c r="E19" s="16" t="n">
        <x:f>AVERAGEIF('Paired Comparison'!$A$2:$A$163,A19,'Paired Comparison'!$K$2:$K$163)</x:f>
        <x:v>22.615659759259255</x:v>
      </x:c>
      <x:c r="F19" s="17" t="n">
        <x:f>E19/'Method Summary'!$F$3-1</x:f>
        <x:v>-0.47277569182319257</x:v>
      </x:c>
      <x:c r="G19" s="16" t="n">
        <x:f>AVERAGEIF('Paired Comparison'!$A$2:$A$163,A19,'Paired Comparison'!$I$2:$I$163)</x:f>
        <x:v>2.4513097884615407</x:v>
      </x:c>
    </x:row>
    <x:row r="21">
      <x:c r="A21" s="25" t="str">
        <x:v>* Mean distance delta = ablation minus full, restricted to matched runs with equal vehicle count. Positive favors the full method.</x:v>
      </x:c>
      <x:c r="B21" s="25"/>
      <x:c r="C21" s="25"/>
      <x:c r="D21" s="25"/>
      <x:c r="E21" s="25"/>
      <x:c r="F21" s="25"/>
      <x:c r="G21" s="25"/>
      <x:c r="H21" s="25"/>
    </x:row>
    <x:row r="22">
      <x:c r="A22" s="25"/>
      <x:c r="B22" s="25"/>
      <x:c r="C22" s="25"/>
      <x:c r="D22" s="25"/>
      <x:c r="E22" s="25"/>
      <x:c r="F22" s="25"/>
      <x:c r="G22" s="25"/>
      <x:c r="H22" s="25"/>
    </x:row>
    <x:row r="24">
      <x:c r="A24" s="47" t="str">
        <x:v>Main comparison: ALNS–VRPTW versus Full ALNS–EVRPTW</x:v>
      </x:c>
      <x:c r="B24" s="47"/>
      <x:c r="C24" s="47"/>
      <x:c r="D24" s="47"/>
      <x:c r="E24" s="47"/>
      <x:c r="F24" s="47"/>
      <x:c r="G24" s="47"/>
      <x:c r="H24" s="47"/>
    </x:row>
    <x:row r="25" ht="28" customHeight="1">
      <x:c r="A25" s="10" t="str">
        <x:v>Matched pairs</x:v>
      </x:c>
      <x:c r="B25" s="10" t="str">
        <x:v>EV more vehicles</x:v>
      </x:c>
      <x:c r="C25" s="10" t="str">
        <x:v>Same vehicles</x:v>
      </x:c>
      <x:c r="D25" s="10" t="str">
        <x:v>EV fewer vehicles</x:v>
      </x:c>
      <x:c r="E25" s="10" t="str">
        <x:v>Same-vehicle EV longer</x:v>
      </x:c>
      <x:c r="F25" s="10" t="str">
        <x:v>Same-vehicle EV shorter</x:v>
      </x:c>
      <x:c r="G25" s="10" t="str">
        <x:v>Mean distance delta*</x:v>
      </x:c>
    </x:row>
    <x:row r="26">
      <x:c r="A26" s="15" t="n">
        <x:f>COUNT('VR vs EV'!$B$2:$B$55)</x:f>
        <x:v>54</x:v>
      </x:c>
      <x:c r="B26" s="15" t="n">
        <x:f>COUNTIF('VR vs EV'!$G$2:$G$55,"EV more")</x:f>
        <x:v>28</x:v>
      </x:c>
      <x:c r="C26" s="15" t="n">
        <x:f>COUNTIF('VR vs EV'!$G$2:$G$55,"Same")</x:f>
        <x:v>26</x:v>
      </x:c>
      <x:c r="D26" s="15" t="n">
        <x:f>COUNTIF('VR vs EV'!$G$2:$G$55,"EV fewer")</x:f>
        <x:v>0</x:v>
      </x:c>
      <x:c r="E26" s="15" t="n">
        <x:f>COUNTIF('VR vs EV'!$K$2:$K$55,"EV longer")</x:f>
        <x:v>23</x:v>
      </x:c>
      <x:c r="F26" s="15" t="n">
        <x:f>COUNTIF('VR vs EV'!$K$2:$K$55,"EV shorter")</x:f>
        <x:v>3</x:v>
      </x:c>
      <x:c r="G26" s="16" t="n">
        <x:f>AVERAGE('VR vs EV'!$J$2:$J$55)</x:f>
        <x:v>12.419154461538463</x:v>
      </x:c>
    </x:row>
    <x:row r="28">
      <x:c r="A28" s="25" t="str">
        <x:v>* Main-comparison distance delta = EV minus VR, restricted to equal-vehicle pairs. EV energy constraints make the problems different.</x:v>
      </x:c>
      <x:c r="B28" s="25"/>
      <x:c r="C28" s="25"/>
      <x:c r="D28" s="25"/>
      <x:c r="E28" s="25"/>
      <x:c r="F28" s="25"/>
      <x:c r="G28" s="25"/>
      <x:c r="H28" s="25"/>
    </x:row>
    <x:row r="29">
      <x:c r="A29" s="25"/>
      <x:c r="B29" s="25"/>
      <x:c r="C29" s="25"/>
      <x:c r="D29" s="25"/>
      <x:c r="E29" s="25"/>
      <x:c r="F29" s="25"/>
      <x:c r="G29" s="25"/>
      <x:c r="H29" s="25"/>
    </x:row>
  </x:sheetData>
  <x:mergeCells>
    <x:mergeCell ref="A1:N1"/>
    <x:mergeCell ref="A2:N2"/>
    <x:mergeCell ref="A4:B4"/>
    <x:mergeCell ref="C4:D4"/>
    <x:mergeCell ref="E4:F4"/>
    <x:mergeCell ref="G4:H4"/>
    <x:mergeCell ref="A5:B5"/>
    <x:mergeCell ref="C5:D5"/>
    <x:mergeCell ref="E5:F5"/>
    <x:mergeCell ref="G5:H5"/>
    <x:mergeCell ref="A7:H7"/>
    <x:mergeCell ref="A15:H15"/>
    <x:mergeCell ref="A21:H21"/>
    <x:mergeCell ref="A22:H22"/>
    <x:mergeCell ref="A24:H24"/>
    <x:mergeCell ref="A28:H28"/>
    <x:mergeCell ref="A29:H29"/>
  </x:mergeCells>
  <x:pageMargins left="0.7" right="0.7" top="0.75" bottom="0.75" header="0.3" footer="0.3"/>
  <x:drawing xmlns:r="http://schemas.openxmlformats.org/officeDocument/2006/relationships" r:id="R90195d1697a6440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28" customHeight="1">
      <x:c r="A1" s="10" t="str">
        <x:v>Variant</x:v>
      </x:c>
      <x:c r="B1" s="10" t="str">
        <x:v>Runs</x:v>
      </x:c>
      <x:c r="C1" s="10" t="str">
        <x:v>Feasible rate</x:v>
      </x:c>
      <x:c r="D1" s="10" t="str">
        <x:v>Avg vehicles</x:v>
      </x:c>
      <x:c r="E1" s="10" t="str">
        <x:v>Avg distance*</x:v>
      </x:c>
      <x:c r="F1" s="10" t="str">
        <x:v>Avg runtime (s)</x:v>
      </x:c>
      <x:c r="G1" s="10" t="str">
        <x:v>Total runtime (s)</x:v>
      </x:c>
      <x:c r="H1" s="10" t="str">
        <x:v>Avg improving</x:v>
      </x:c>
      <x:c r="I1" s="10" t="str">
        <x:v>Avg neutral</x:v>
      </x:c>
      <x:c r="J1" s="10" t="str">
        <x:v>Avg accepted worse</x:v>
      </x:c>
      <x:c r="K1" s="10" t="str">
        <x:v>Avg neutral rate</x:v>
      </x:c>
      <x:c r="L1" s="10" t="str">
        <x:v>Best at initial</x:v>
      </x:c>
      <x:c r="M1" s="10" t="str">
        <x:v>Seed-diverse instances</x:v>
      </x:c>
    </x:row>
    <x:row r="2">
      <x:c r="A2" t="str">
        <x:v>ALNS_VRPTW</x:v>
      </x:c>
      <x:c r="B2" s="15" t="n">
        <x:f>COUNTIF('Run Data'!$B$2:$B$271,A2)</x:f>
        <x:v>54</x:v>
      </x:c>
      <x:c r="C2" s="17" t="n">
        <x:f>SUMIF('Run Data'!$B$2:$B$271,A2,'Run Data'!$H$2:$H$271)/B2</x:f>
        <x:v>1</x:v>
      </x:c>
      <x:c r="D2" s="16" t="n">
        <x:f>AVERAGEIF('Run Data'!$B$2:$B$271,A2,'Run Data'!$I$2:$I$271)</x:f>
        <x:v>1.7222222222222223</x:v>
      </x:c>
      <x:c r="E2" s="16" t="n">
        <x:f>AVERAGEIF('Run Data'!$B$2:$B$271,A2,'Run Data'!$J$2:$J$271)</x:f>
        <x:v>318.283707611111</x:v>
      </x:c>
      <x:c r="F2" s="16" t="n">
        <x:f>AVERAGEIF('Run Data'!$B$2:$B$271,A2,'Run Data'!$K$2:$K$271)</x:f>
        <x:v>2.3905330555555557</x:v>
      </x:c>
      <x:c r="G2" s="16" t="n">
        <x:f>SUMIF('Run Data'!$B$2:$B$271,A2,'Run Data'!$K$2:$K$271)</x:f>
        <x:v>129.088785</x:v>
      </x:c>
      <x:c r="H2" s="16" t="n">
        <x:f>AVERAGEIF('Run Data'!$B$2:$B$271,A2,'Run Data'!$O$2:$O$271)</x:f>
        <x:v>3.2962962962962963</x:v>
      </x:c>
      <x:c r="I2" s="16" t="n">
        <x:f>AVERAGEIF('Run Data'!$B$2:$B$271,A2,'Run Data'!$P$2:$P$271)</x:f>
        <x:v>936.925925925926</x:v>
      </x:c>
      <x:c r="J2" s="16" t="n">
        <x:f>AVERAGEIF('Run Data'!$B$2:$B$271,A2,'Run Data'!$Q$2:$Q$271)</x:f>
        <x:v>2.1296296296296298</x:v>
      </x:c>
      <x:c r="K2" s="17" t="n">
        <x:f>AVERAGEIF('Run Data'!$B$2:$B$271,A2,'Run Data'!$R$2:$R$271)</x:f>
        <x:v>0.936925925925926</x:v>
      </x:c>
      <x:c r="L2" s="15" t="n">
        <x:f>COUNTIFS('Run Data'!$B$2:$B$271,A2,'Run Data'!$M$2:$M$271,0)</x:f>
        <x:v>21</x:v>
      </x:c>
      <x:c r="M2" s="15" t="n">
        <x:f>SUMIF('Instance Summary'!$A$2:$A$91,A2,'Instance Summary'!$N$2:$N$91)</x:f>
        <x:v>0</x:v>
      </x:c>
    </x:row>
    <x:row r="3">
      <x:c r="A3" t="str">
        <x:v>Full_ALNS_EVRPTW</x:v>
      </x:c>
      <x:c r="B3" s="15" t="n">
        <x:f>COUNTIF('Run Data'!$B$2:$B$271,A3)</x:f>
        <x:v>54</x:v>
      </x:c>
      <x:c r="C3" s="17" t="n">
        <x:f>SUMIF('Run Data'!$B$2:$B$271,A3,'Run Data'!$H$2:$H$271)/B3</x:f>
        <x:v>1</x:v>
      </x:c>
      <x:c r="D3" s="16" t="n">
        <x:f>AVERAGEIF('Run Data'!$B$2:$B$271,A3,'Run Data'!$I$2:$I$271)</x:f>
        <x:v>2.2962962962962963</x:v>
      </x:c>
      <x:c r="E3" s="16" t="n">
        <x:f>AVERAGEIF('Run Data'!$B$2:$B$271,A3,'Run Data'!$J$2:$J$271)</x:f>
        <x:v>303.17274903703714</x:v>
      </x:c>
      <x:c r="F3" s="16" t="n">
        <x:f>AVERAGEIF('Run Data'!$B$2:$B$271,A3,'Run Data'!$K$2:$K$271)</x:f>
        <x:v>42.89570759259259</x:v>
      </x:c>
      <x:c r="G3" s="16" t="n">
        <x:f>SUMIF('Run Data'!$B$2:$B$271,A3,'Run Data'!$K$2:$K$271)</x:f>
        <x:v>2316.36821</x:v>
      </x:c>
      <x:c r="H3" s="16" t="n">
        <x:f>AVERAGEIF('Run Data'!$B$2:$B$271,A3,'Run Data'!$O$2:$O$271)</x:f>
        <x:v>6.166666666666667</x:v>
      </x:c>
      <x:c r="I3" s="16" t="n">
        <x:f>AVERAGEIF('Run Data'!$B$2:$B$271,A3,'Run Data'!$P$2:$P$271)</x:f>
        <x:v>956.4629629629629</x:v>
      </x:c>
      <x:c r="J3" s="16" t="n">
        <x:f>AVERAGEIF('Run Data'!$B$2:$B$271,A3,'Run Data'!$Q$2:$Q$271)</x:f>
        <x:v>4.851851851851852</x:v>
      </x:c>
      <x:c r="K3" s="17" t="n">
        <x:f>AVERAGEIF('Run Data'!$B$2:$B$271,A3,'Run Data'!$R$2:$R$271)</x:f>
        <x:v>0.956462962962963</x:v>
      </x:c>
      <x:c r="L3" s="15" t="n">
        <x:f>COUNTIFS('Run Data'!$B$2:$B$271,A3,'Run Data'!$M$2:$M$271,0)</x:f>
        <x:v>21</x:v>
      </x:c>
      <x:c r="M3" s="15" t="n">
        <x:f>SUMIF('Instance Summary'!$A$2:$A$91,A3,'Instance Summary'!$N$2:$N$91)</x:f>
        <x:v>2</x:v>
      </x:c>
    </x:row>
    <x:row r="4">
      <x:c r="A4" t="str">
        <x:v>No_Adaptive</x:v>
      </x:c>
      <x:c r="B4" s="15" t="n">
        <x:f>COUNTIF('Run Data'!$B$2:$B$271,A4)</x:f>
        <x:v>54</x:v>
      </x:c>
      <x:c r="C4" s="17" t="n">
        <x:f>SUMIF('Run Data'!$B$2:$B$271,A4,'Run Data'!$H$2:$H$271)/B4</x:f>
        <x:v>1</x:v>
      </x:c>
      <x:c r="D4" s="16" t="n">
        <x:f>AVERAGEIF('Run Data'!$B$2:$B$271,A4,'Run Data'!$I$2:$I$271)</x:f>
        <x:v>2.2962962962962963</x:v>
      </x:c>
      <x:c r="E4" s="16" t="n">
        <x:f>AVERAGEIF('Run Data'!$B$2:$B$271,A4,'Run Data'!$J$2:$J$271)</x:f>
        <x:v>305.53821318518527</x:v>
      </x:c>
      <x:c r="F4" s="16" t="n">
        <x:f>AVERAGEIF('Run Data'!$B$2:$B$271,A4,'Run Data'!$K$2:$K$271)</x:f>
        <x:v>40.32673724074074</x:v>
      </x:c>
      <x:c r="G4" s="16" t="n">
        <x:f>SUMIF('Run Data'!$B$2:$B$271,A4,'Run Data'!$K$2:$K$271)</x:f>
        <x:v>2177.643811</x:v>
      </x:c>
      <x:c r="H4" s="16" t="n">
        <x:f>AVERAGEIF('Run Data'!$B$2:$B$271,A4,'Run Data'!$O$2:$O$271)</x:f>
        <x:v>5.833333333333333</x:v>
      </x:c>
      <x:c r="I4" s="16" t="n">
        <x:f>AVERAGEIF('Run Data'!$B$2:$B$271,A4,'Run Data'!$P$2:$P$271)</x:f>
        <x:v>950.3518518518518</x:v>
      </x:c>
      <x:c r="J4" s="16" t="n">
        <x:f>AVERAGEIF('Run Data'!$B$2:$B$271,A4,'Run Data'!$Q$2:$Q$271)</x:f>
        <x:v>4.555555555555555</x:v>
      </x:c>
      <x:c r="K4" s="17" t="n">
        <x:f>AVERAGEIF('Run Data'!$B$2:$B$271,A4,'Run Data'!$R$2:$R$271)</x:f>
        <x:v>0.9503518518518517</x:v>
      </x:c>
      <x:c r="L4" s="15" t="n">
        <x:f>COUNTIFS('Run Data'!$B$2:$B$271,A4,'Run Data'!$M$2:$M$271,0)</x:f>
        <x:v>21</x:v>
      </x:c>
      <x:c r="M4" s="15" t="n">
        <x:f>SUMIF('Instance Summary'!$A$2:$A$91,A4,'Instance Summary'!$N$2:$N$91)</x:f>
        <x:v>3</x:v>
      </x:c>
    </x:row>
    <x:row r="5">
      <x:c r="A5" t="str">
        <x:v>No_SA</x:v>
      </x:c>
      <x:c r="B5" s="15" t="n">
        <x:f>COUNTIF('Run Data'!$B$2:$B$271,A5)</x:f>
        <x:v>54</x:v>
      </x:c>
      <x:c r="C5" s="17" t="n">
        <x:f>SUMIF('Run Data'!$B$2:$B$271,A5,'Run Data'!$H$2:$H$271)/B5</x:f>
        <x:v>1</x:v>
      </x:c>
      <x:c r="D5" s="16" t="n">
        <x:f>AVERAGEIF('Run Data'!$B$2:$B$271,A5,'Run Data'!$I$2:$I$271)</x:f>
        <x:v>2.2962962962962963</x:v>
      </x:c>
      <x:c r="E5" s="16" t="n">
        <x:f>AVERAGEIF('Run Data'!$B$2:$B$271,A5,'Run Data'!$J$2:$J$271)</x:f>
        <x:v>306.90743907407415</x:v>
      </x:c>
      <x:c r="F5" s="16" t="n">
        <x:f>AVERAGEIF('Run Data'!$B$2:$B$271,A5,'Run Data'!$K$2:$K$271)</x:f>
        <x:v>44.42885716666667</x:v>
      </x:c>
      <x:c r="G5" s="16" t="n">
        <x:f>SUMIF('Run Data'!$B$2:$B$271,A5,'Run Data'!$K$2:$K$271)</x:f>
        <x:v>2399.158287</x:v>
      </x:c>
      <x:c r="H5" s="16" t="n">
        <x:f>AVERAGEIF('Run Data'!$B$2:$B$271,A5,'Run Data'!$O$2:$O$271)</x:f>
        <x:v>1.2777777777777777</x:v>
      </x:c>
      <x:c r="I5" s="16" t="n">
        <x:f>AVERAGEIF('Run Data'!$B$2:$B$271,A5,'Run Data'!$P$2:$P$271)</x:f>
        <x:v>950</x:v>
      </x:c>
      <x:c r="J5" s="16" t="n">
        <x:f>AVERAGEIF('Run Data'!$B$2:$B$271,A5,'Run Data'!$Q$2:$Q$271)</x:f>
        <x:v>0</x:v>
      </x:c>
      <x:c r="K5" s="17" t="n">
        <x:f>AVERAGEIF('Run Data'!$B$2:$B$271,A5,'Run Data'!$R$2:$R$271)</x:f>
        <x:v>0.9500000000000002</x:v>
      </x:c>
      <x:c r="L5" s="15" t="n">
        <x:f>COUNTIFS('Run Data'!$B$2:$B$271,A5,'Run Data'!$M$2:$M$271,0)</x:f>
        <x:v>21</x:v>
      </x:c>
      <x:c r="M5" s="15" t="n">
        <x:f>SUMIF('Instance Summary'!$A$2:$A$91,A5,'Instance Summary'!$N$2:$N$91)</x:f>
        <x:v>3</x:v>
      </x:c>
    </x:row>
    <x:row r="6">
      <x:c r="A6" t="str">
        <x:v>No_Local_Search</x:v>
      </x:c>
      <x:c r="B6" s="15" t="n">
        <x:f>COUNTIF('Run Data'!$B$2:$B$271,A6)</x:f>
        <x:v>54</x:v>
      </x:c>
      <x:c r="C6" s="17" t="n">
        <x:f>SUMIF('Run Data'!$B$2:$B$271,A6,'Run Data'!$H$2:$H$271)/B6</x:f>
        <x:v>1</x:v>
      </x:c>
      <x:c r="D6" s="16" t="n">
        <x:f>AVERAGEIF('Run Data'!$B$2:$B$271,A6,'Run Data'!$I$2:$I$271)</x:f>
        <x:v>2.2962962962962963</x:v>
      </x:c>
      <x:c r="E6" s="16" t="n">
        <x:f>AVERAGEIF('Run Data'!$B$2:$B$271,A6,'Run Data'!$J$2:$J$271)</x:f>
        <x:v>305.5332695740741</x:v>
      </x:c>
      <x:c r="F6" s="16" t="n">
        <x:f>AVERAGEIF('Run Data'!$B$2:$B$271,A6,'Run Data'!$K$2:$K$271)</x:f>
        <x:v>22.615659759259255</x:v>
      </x:c>
      <x:c r="G6" s="16" t="n">
        <x:f>SUMIF('Run Data'!$B$2:$B$271,A6,'Run Data'!$K$2:$K$271)</x:f>
        <x:v>1221.2456269999998</x:v>
      </x:c>
      <x:c r="H6" s="16" t="n">
        <x:f>AVERAGEIF('Run Data'!$B$2:$B$271,A6,'Run Data'!$O$2:$O$271)</x:f>
        <x:v>5.351851851851852</x:v>
      </x:c>
      <x:c r="I6" s="16" t="n">
        <x:f>AVERAGEIF('Run Data'!$B$2:$B$271,A6,'Run Data'!$P$2:$P$271)</x:f>
        <x:v>947.574074074074</x:v>
      </x:c>
      <x:c r="J6" s="16" t="n">
        <x:f>AVERAGEIF('Run Data'!$B$2:$B$271,A6,'Run Data'!$Q$2:$Q$271)</x:f>
        <x:v>3.5185185185185186</x:v>
      </x:c>
      <x:c r="K6" s="17" t="n">
        <x:f>AVERAGEIF('Run Data'!$B$2:$B$271,A6,'Run Data'!$R$2:$R$271)</x:f>
        <x:v>0.9475740740740741</x:v>
      </x:c>
      <x:c r="L6" s="15" t="n">
        <x:f>COUNTIFS('Run Data'!$B$2:$B$271,A6,'Run Data'!$M$2:$M$271,0)</x:f>
        <x:v>24</x:v>
      </x:c>
      <x:c r="M6" s="15" t="n">
        <x:f>SUMIF('Instance Summary'!$A$2:$A$91,A6,'Instance Summary'!$N$2:$N$91)</x:f>
        <x:v>4</x:v>
      </x:c>
    </x:row>
    <x:row r="8">
      <x:c r="A8" s="25" t="str">
        <x:v>* Average distance is descriptive only. Compare distance directly only when vehicle counts are equal.</x:v>
      </x:c>
      <x:c r="B8" s="25"/>
      <x:c r="C8" s="25"/>
      <x:c r="D8" s="25"/>
      <x:c r="E8" s="25"/>
      <x:c r="F8" s="25"/>
      <x:c r="G8" s="25"/>
      <x:c r="H8" s="25"/>
      <x:c r="I8" s="25"/>
      <x:c r="J8" s="25"/>
      <x:c r="K8" s="25"/>
      <x:c r="L8" s="25"/>
      <x:c r="M8" s="25"/>
    </x:row>
    <x:row r="9">
      <x:c r="A9" s="25"/>
      <x:c r="B9" s="25"/>
      <x:c r="C9" s="25"/>
      <x:c r="D9" s="25"/>
      <x:c r="E9" s="25"/>
      <x:c r="F9" s="25"/>
      <x:c r="G9" s="25"/>
      <x:c r="H9" s="25"/>
      <x:c r="I9" s="25"/>
      <x:c r="J9" s="25"/>
      <x:c r="K9" s="25"/>
      <x:c r="L9" s="25"/>
      <x:c r="M9" s="25"/>
    </x:row>
  </x:sheetData>
  <x:mergeCells>
    <x:mergeCell ref="A8:M8"/>
    <x:mergeCell ref="A9:M9"/>
  </x:mergeCells>
  <x:pageMargins left="0.7" right="0.7" top="0.75" bottom="0.75" header="0.3" footer="0.3"/>
  <x:tableParts count="1">
    <x:tablePart xmlns:r="http://schemas.openxmlformats.org/officeDocument/2006/relationships" r:id="Re6bf9c44f7d240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28" customHeight="1">
      <x:c r="A1" s="10" t="str">
        <x:v>Variant</x:v>
      </x:c>
      <x:c r="B1" s="10" t="str">
        <x:v>Instance</x:v>
      </x:c>
      <x:c r="C1" s="10" t="str">
        <x:v>Family</x:v>
      </x:c>
      <x:c r="D1" s="10" t="str">
        <x:v>Customers</x:v>
      </x:c>
      <x:c r="E1" s="10" t="str">
        <x:v>Runs</x:v>
      </x:c>
      <x:c r="F1" s="10" t="str">
        <x:v>Avg vehicles</x:v>
      </x:c>
      <x:c r="G1" s="10" t="str">
        <x:v>SD vehicles</x:v>
      </x:c>
      <x:c r="H1" s="10" t="str">
        <x:v>Avg distance</x:v>
      </x:c>
      <x:c r="I1" s="10" t="str">
        <x:v>SD distance</x:v>
      </x:c>
      <x:c r="J1" s="10" t="str">
        <x:v>Best vehicles</x:v>
      </x:c>
      <x:c r="K1" s="10" t="str">
        <x:v>Best distance</x:v>
      </x:c>
      <x:c r="L1" s="10" t="str">
        <x:v>Feasible runs</x:v>
      </x:c>
      <x:c r="M1" s="10" t="str">
        <x:v>Avg runtime (s)</x:v>
      </x:c>
      <x:c r="N1" s="10" t="str">
        <x:v>Seed diverse</x:v>
      </x:c>
      <x:c r="O1" s="10" t="str">
        <x:v>Avg station visits</x:v>
      </x:c>
      <x:c r="P1" s="10" t="str">
        <x:v>Avg minimum battery</x:v>
      </x:c>
      <x:c r="Q1" s="10" t="str">
        <x:v>Avg neutral rate</x:v>
      </x:c>
    </x:row>
    <x:row r="2">
      <x:c r="A2" t="str">
        <x:v>ALNS_VRPTW</x:v>
      </x:c>
      <x:c r="B2" t="str">
        <x:v>c101C5</x:v>
      </x:c>
      <x:c r="C2" t="str">
        <x:v>C</x:v>
      </x:c>
      <x:c r="D2" s="15" t="n">
        <x:v>5</x:v>
      </x:c>
      <x:c r="E2" s="15" t="n">
        <x:f>COUNT('Run Data'!$E$2:$E$4)</x:f>
        <x:v>3</x:v>
      </x:c>
      <x:c r="F2" s="16" t="n">
        <x:f>AVERAGE('Run Data'!$I$2:$I$4)</x:f>
        <x:v>2</x:v>
      </x:c>
      <x:c r="G2" s="16" t="n">
        <x:f>STDEV.S('Run Data'!$I$2:$I$4)</x:f>
        <x:v>0</x:v>
      </x:c>
      <x:c r="H2" s="16" t="n">
        <x:f>AVERAGE('Run Data'!$J$2:$J$4)</x:f>
        <x:v>239.997575</x:v>
      </x:c>
      <x:c r="I2" s="16" t="n">
        <x:f>STDEV.S('Run Data'!$J$2:$J$4)</x:f>
        <x:v>0</x:v>
      </x:c>
      <x:c r="J2" s="15" t="n">
        <x:f>MIN('Run Data'!$I$2:$I$4)</x:f>
        <x:v>2</x:v>
      </x:c>
      <x:c r="K2" s="16" t="n">
        <x:f>MINIFS('Run Data'!$J$2:$J$4,'Run Data'!$I$2:$I$4,J2)</x:f>
        <x:v>239.997575</x:v>
      </x:c>
      <x:c r="L2" s="15" t="n">
        <x:f>SUM('Run Data'!$H$2:$H$4)</x:f>
        <x:v>3</x:v>
      </x:c>
      <x:c r="M2" s="16" t="n">
        <x:f>AVERAGE('Run Data'!$K$2:$K$4)</x:f>
        <x:v>0.31075233333333335</x:v>
      </x:c>
      <x:c r="N2" s="15" t="n">
        <x:f>IF(G2+I2&gt;0,1,0)</x:f>
        <x:v>0</x:v>
      </x:c>
      <x:c r="O2" s="16" t="n">
        <x:f>AVERAGE('Run Data'!$AC$2:$AC$4)</x:f>
        <x:v>0</x:v>
      </x:c>
      <x:c r="P2" s="16" t="n">
        <x:f>AVERAGE('Run Data'!$AB$2:$AB$4)</x:f>
        <x:v>-74.919266</x:v>
      </x:c>
      <x:c r="Q2" s="17" t="n">
        <x:f>AVERAGE('Run Data'!$R$2:$R$4)</x:f>
        <x:v>1</x:v>
      </x:c>
    </x:row>
    <x:row r="3">
      <x:c r="A3" t="str">
        <x:v>ALNS_VRPTW</x:v>
      </x:c>
      <x:c r="B3" t="str">
        <x:v>c101C10</x:v>
      </x:c>
      <x:c r="C3" t="str">
        <x:v>C</x:v>
      </x:c>
      <x:c r="D3" s="15" t="n">
        <x:v>10</x:v>
      </x:c>
      <x:c r="E3" s="15" t="n">
        <x:f>COUNT('Run Data'!$E$5:$E$7)</x:f>
        <x:v>3</x:v>
      </x:c>
      <x:c r="F3" s="16" t="n">
        <x:f>AVERAGE('Run Data'!$I$5:$I$7)</x:f>
        <x:v>3</x:v>
      </x:c>
      <x:c r="G3" s="16" t="n">
        <x:f>STDEV.S('Run Data'!$I$5:$I$7)</x:f>
        <x:v>0</x:v>
      </x:c>
      <x:c r="H3" s="16" t="n">
        <x:f>AVERAGE('Run Data'!$J$5:$J$7)</x:f>
        <x:v>366.332249</x:v>
      </x:c>
      <x:c r="I3" s="16" t="n">
        <x:f>STDEV.S('Run Data'!$J$5:$J$7)</x:f>
        <x:v>0</x:v>
      </x:c>
      <x:c r="J3" s="15" t="n">
        <x:f>MIN('Run Data'!$I$5:$I$7)</x:f>
        <x:v>3</x:v>
      </x:c>
      <x:c r="K3" s="16" t="n">
        <x:f>MINIFS('Run Data'!$J$5:$J$7,'Run Data'!$I$5:$I$7,J3)</x:f>
        <x:v>366.332249</x:v>
      </x:c>
      <x:c r="L3" s="15" t="n">
        <x:f>SUM('Run Data'!$H$5:$H$7)</x:f>
        <x:v>3</x:v>
      </x:c>
      <x:c r="M3" s="16" t="n">
        <x:f>AVERAGE('Run Data'!$K$5:$K$7)</x:f>
        <x:v>1.840005</x:v>
      </x:c>
      <x:c r="N3" s="15" t="n">
        <x:f>IF(G3+I3&gt;0,1,0)</x:f>
        <x:v>0</x:v>
      </x:c>
      <x:c r="O3" s="16" t="n">
        <x:f>AVERAGE('Run Data'!$AC$5:$AC$7)</x:f>
        <x:v>0</x:v>
      </x:c>
      <x:c r="P3" s="16" t="n">
        <x:f>AVERAGE('Run Data'!$AB$5:$AB$7)</x:f>
        <x:v>-95.460373</x:v>
      </x:c>
      <x:c r="Q3" s="17" t="n">
        <x:f>AVERAGE('Run Data'!$R$5:$R$7)</x:f>
        <x:v>0.9273333333333333</x:v>
      </x:c>
    </x:row>
    <x:row r="4">
      <x:c r="A4" t="str">
        <x:v>ALNS_VRPTW</x:v>
      </x:c>
      <x:c r="B4" t="str">
        <x:v>c103C15</x:v>
      </x:c>
      <x:c r="C4" t="str">
        <x:v>C</x:v>
      </x:c>
      <x:c r="D4" s="15" t="n">
        <x:v>15</x:v>
      </x:c>
      <x:c r="E4" s="15" t="n">
        <x:f>COUNT('Run Data'!$E$8:$E$10)</x:f>
        <x:v>3</x:v>
      </x:c>
      <x:c r="F4" s="16" t="n">
        <x:f>AVERAGE('Run Data'!$I$8:$I$10)</x:f>
        <x:v>2</x:v>
      </x:c>
      <x:c r="G4" s="16" t="n">
        <x:f>STDEV.S('Run Data'!$I$8:$I$10)</x:f>
        <x:v>0</x:v>
      </x:c>
      <x:c r="H4" s="16" t="n">
        <x:f>AVERAGE('Run Data'!$J$8:$J$10)</x:f>
        <x:v>343.981611</x:v>
      </x:c>
      <x:c r="I4" s="16" t="n">
        <x:f>STDEV.S('Run Data'!$J$8:$J$10)</x:f>
        <x:v>0</x:v>
      </x:c>
      <x:c r="J4" s="15" t="n">
        <x:f>MIN('Run Data'!$I$8:$I$10)</x:f>
        <x:v>2</x:v>
      </x:c>
      <x:c r="K4" s="16" t="n">
        <x:f>MINIFS('Run Data'!$J$8:$J$10,'Run Data'!$I$8:$I$10,J4)</x:f>
        <x:v>343.981611</x:v>
      </x:c>
      <x:c r="L4" s="15" t="n">
        <x:f>SUM('Run Data'!$H$8:$H$10)</x:f>
        <x:v>3</x:v>
      </x:c>
      <x:c r="M4" s="16" t="n">
        <x:f>AVERAGE('Run Data'!$K$8:$K$10)</x:f>
        <x:v>5.070373666666666</x:v>
      </x:c>
      <x:c r="N4" s="15" t="n">
        <x:f>IF(G4+I4&gt;0,1,0)</x:f>
        <x:v>0</x:v>
      </x:c>
      <x:c r="O4" s="16" t="n">
        <x:f>AVERAGE('Run Data'!$AC$8:$AC$10)</x:f>
        <x:v>0</x:v>
      </x:c>
      <x:c r="P4" s="16" t="n">
        <x:f>AVERAGE('Run Data'!$AB$8:$AB$10)</x:f>
        <x:v>-113.389432</x:v>
      </x:c>
      <x:c r="Q4" s="17" t="n">
        <x:f>AVERAGE('Run Data'!$R$8:$R$10)</x:f>
        <x:v>0.9266666666666667</x:v>
      </x:c>
    </x:row>
    <x:row r="5">
      <x:c r="A5" t="str">
        <x:v>ALNS_VRPTW</x:v>
      </x:c>
      <x:c r="B5" t="str">
        <x:v>c206C5</x:v>
      </x:c>
      <x:c r="C5" t="str">
        <x:v>C</x:v>
      </x:c>
      <x:c r="D5" s="15" t="n">
        <x:v>5</x:v>
      </x:c>
      <x:c r="E5" s="15" t="n">
        <x:f>COUNT('Run Data'!$E$11:$E$13)</x:f>
        <x:v>3</x:v>
      </x:c>
      <x:c r="F5" s="16" t="n">
        <x:f>AVERAGE('Run Data'!$I$11:$I$13)</x:f>
        <x:v>1</x:v>
      </x:c>
      <x:c r="G5" s="16" t="n">
        <x:f>STDEV.S('Run Data'!$I$11:$I$13)</x:f>
        <x:v>0</x:v>
      </x:c>
      <x:c r="H5" s="16" t="n">
        <x:f>AVERAGE('Run Data'!$J$11:$J$13)</x:f>
        <x:v>236.508161</x:v>
      </x:c>
      <x:c r="I5" s="16" t="n">
        <x:f>STDEV.S('Run Data'!$J$11:$J$13)</x:f>
        <x:v>0</x:v>
      </x:c>
      <x:c r="J5" s="15" t="n">
        <x:f>MIN('Run Data'!$I$11:$I$13)</x:f>
        <x:v>1</x:v>
      </x:c>
      <x:c r="K5" s="16" t="n">
        <x:f>MINIFS('Run Data'!$J$11:$J$13,'Run Data'!$I$11:$I$13,J5)</x:f>
        <x:v>236.508161</x:v>
      </x:c>
      <x:c r="L5" s="15" t="n">
        <x:f>SUM('Run Data'!$H$11:$H$13)</x:f>
        <x:v>3</x:v>
      </x:c>
      <x:c r="M5" s="16" t="n">
        <x:f>AVERAGE('Run Data'!$K$11:$K$13)</x:f>
        <x:v>0.29190133333333335</x:v>
      </x:c>
      <x:c r="N5" s="15" t="n">
        <x:f>IF(G5+I5&gt;0,1,0)</x:f>
        <x:v>0</x:v>
      </x:c>
      <x:c r="O5" s="16" t="n">
        <x:f>AVERAGE('Run Data'!$AC$11:$AC$13)</x:f>
        <x:v>0</x:v>
      </x:c>
      <x:c r="P5" s="16" t="n">
        <x:f>AVERAGE('Run Data'!$AB$11:$AB$13)</x:f>
        <x:v>-158.758161</x:v>
      </x:c>
      <x:c r="Q5" s="17" t="n">
        <x:f>AVERAGE('Run Data'!$R$11:$R$13)</x:f>
        <x:v>1</x:v>
      </x:c>
    </x:row>
    <x:row r="6">
      <x:c r="A6" t="str">
        <x:v>ALNS_VRPTW</x:v>
      </x:c>
      <x:c r="B6" t="str">
        <x:v>c202C10</x:v>
      </x:c>
      <x:c r="C6" t="str">
        <x:v>C</x:v>
      </x:c>
      <x:c r="D6" s="15" t="n">
        <x:v>10</x:v>
      </x:c>
      <x:c r="E6" s="15" t="n">
        <x:f>COUNT('Run Data'!$E$14:$E$16)</x:f>
        <x:v>3</x:v>
      </x:c>
      <x:c r="F6" s="16" t="n">
        <x:f>AVERAGE('Run Data'!$I$14:$I$16)</x:f>
        <x:v>1</x:v>
      </x:c>
      <x:c r="G6" s="16" t="n">
        <x:f>STDEV.S('Run Data'!$I$14:$I$16)</x:f>
        <x:v>0</x:v>
      </x:c>
      <x:c r="H6" s="16" t="n">
        <x:f>AVERAGE('Run Data'!$J$14:$J$16)</x:f>
        <x:v>282.440153</x:v>
      </x:c>
      <x:c r="I6" s="16" t="n">
        <x:f>STDEV.S('Run Data'!$J$14:$J$16)</x:f>
        <x:v>0</x:v>
      </x:c>
      <x:c r="J6" s="15" t="n">
        <x:f>MIN('Run Data'!$I$14:$I$16)</x:f>
        <x:v>1</x:v>
      </x:c>
      <x:c r="K6" s="16" t="n">
        <x:f>MINIFS('Run Data'!$J$14:$J$16,'Run Data'!$I$14:$I$16,J6)</x:f>
        <x:v>282.440153</x:v>
      </x:c>
      <x:c r="L6" s="15" t="n">
        <x:f>SUM('Run Data'!$H$14:$H$16)</x:f>
        <x:v>3</x:v>
      </x:c>
      <x:c r="M6" s="16" t="n">
        <x:f>AVERAGE('Run Data'!$K$14:$K$16)</x:f>
        <x:v>1.2211086666666666</x:v>
      </x:c>
      <x:c r="N6" s="15" t="n">
        <x:f>IF(G6+I6&gt;0,1,0)</x:f>
        <x:v>0</x:v>
      </x:c>
      <x:c r="O6" s="16" t="n">
        <x:f>AVERAGE('Run Data'!$AC$14:$AC$16)</x:f>
        <x:v>0</x:v>
      </x:c>
      <x:c r="P6" s="16" t="n">
        <x:f>AVERAGE('Run Data'!$AB$14:$AB$16)</x:f>
        <x:v>-204.690153</x:v>
      </x:c>
      <x:c r="Q6" s="17" t="n">
        <x:f>AVERAGE('Run Data'!$R$14:$R$16)</x:f>
        <x:v>0.9813333333333333</x:v>
      </x:c>
    </x:row>
    <x:row r="7">
      <x:c r="A7" t="str">
        <x:v>ALNS_VRPTW</x:v>
      </x:c>
      <x:c r="B7" t="str">
        <x:v>c202C15</x:v>
      </x:c>
      <x:c r="C7" t="str">
        <x:v>C</x:v>
      </x:c>
      <x:c r="D7" s="15" t="n">
        <x:v>15</x:v>
      </x:c>
      <x:c r="E7" s="15" t="n">
        <x:f>COUNT('Run Data'!$E$17:$E$19)</x:f>
        <x:v>3</x:v>
      </x:c>
      <x:c r="F7" s="16" t="n">
        <x:f>AVERAGE('Run Data'!$I$17:$I$19)</x:f>
        <x:v>1</x:v>
      </x:c>
      <x:c r="G7" s="16" t="n">
        <x:f>STDEV.S('Run Data'!$I$17:$I$19)</x:f>
        <x:v>0</x:v>
      </x:c>
      <x:c r="H7" s="16" t="n">
        <x:f>AVERAGE('Run Data'!$J$17:$J$19)</x:f>
        <x:v>534.336415</x:v>
      </x:c>
      <x:c r="I7" s="16" t="n">
        <x:f>STDEV.S('Run Data'!$J$17:$J$19)</x:f>
        <x:v>0</x:v>
      </x:c>
      <x:c r="J7" s="15" t="n">
        <x:f>MIN('Run Data'!$I$17:$I$19)</x:f>
        <x:v>1</x:v>
      </x:c>
      <x:c r="K7" s="16" t="n">
        <x:f>MINIFS('Run Data'!$J$17:$J$19,'Run Data'!$I$17:$I$19,J7)</x:f>
        <x:v>534.336415</x:v>
      </x:c>
      <x:c r="L7" s="15" t="n">
        <x:f>SUM('Run Data'!$H$17:$H$19)</x:f>
        <x:v>3</x:v>
      </x:c>
      <x:c r="M7" s="16" t="n">
        <x:f>AVERAGE('Run Data'!$K$17:$K$19)</x:f>
        <x:v>6.769678333333334</x:v>
      </x:c>
      <x:c r="N7" s="15" t="n">
        <x:f>IF(G7+I7&gt;0,1,0)</x:f>
        <x:v>0</x:v>
      </x:c>
      <x:c r="O7" s="16" t="n">
        <x:f>AVERAGE('Run Data'!$AC$17:$AC$19)</x:f>
        <x:v>0</x:v>
      </x:c>
      <x:c r="P7" s="16" t="n">
        <x:f>AVERAGE('Run Data'!$AB$17:$AB$19)</x:f>
        <x:v>-456.586415</x:v>
      </x:c>
      <x:c r="Q7" s="17" t="n">
        <x:f>AVERAGE('Run Data'!$R$17:$R$19)</x:f>
        <x:v>0.6616666666666667</x:v>
      </x:c>
    </x:row>
    <x:row r="8">
      <x:c r="A8" t="str">
        <x:v>ALNS_VRPTW</x:v>
      </x:c>
      <x:c r="B8" t="str">
        <x:v>r105C5</x:v>
      </x:c>
      <x:c r="C8" t="str">
        <x:v>R</x:v>
      </x:c>
      <x:c r="D8" s="15" t="n">
        <x:v>5</x:v>
      </x:c>
      <x:c r="E8" s="15" t="n">
        <x:f>COUNT('Run Data'!$E$20:$E$22)</x:f>
        <x:v>3</x:v>
      </x:c>
      <x:c r="F8" s="16" t="n">
        <x:f>AVERAGE('Run Data'!$I$20:$I$22)</x:f>
        <x:v>2</x:v>
      </x:c>
      <x:c r="G8" s="16" t="n">
        <x:f>STDEV.S('Run Data'!$I$20:$I$22)</x:f>
        <x:v>0</x:v>
      </x:c>
      <x:c r="H8" s="16" t="n">
        <x:f>AVERAGE('Run Data'!$J$20:$J$22)</x:f>
        <x:v>151.148799</x:v>
      </x:c>
      <x:c r="I8" s="16" t="n">
        <x:f>STDEV.S('Run Data'!$J$20:$J$22)</x:f>
        <x:v>0</x:v>
      </x:c>
      <x:c r="J8" s="15" t="n">
        <x:f>MIN('Run Data'!$I$20:$I$22)</x:f>
        <x:v>2</x:v>
      </x:c>
      <x:c r="K8" s="16" t="n">
        <x:f>MINIFS('Run Data'!$J$20:$J$22,'Run Data'!$I$20:$I$22,J8)</x:f>
        <x:v>151.148799</x:v>
      </x:c>
      <x:c r="L8" s="15" t="n">
        <x:f>SUM('Run Data'!$H$20:$H$22)</x:f>
        <x:v>3</x:v>
      </x:c>
      <x:c r="M8" s="16" t="n">
        <x:f>AVERAGE('Run Data'!$K$20:$K$22)</x:f>
        <x:v>0.3954843333333333</x:v>
      </x:c>
      <x:c r="N8" s="15" t="n">
        <x:f>IF(G8+I8&gt;0,1,0)</x:f>
        <x:v>0</x:v>
      </x:c>
      <x:c r="O8" s="16" t="n">
        <x:f>AVERAGE('Run Data'!$AC$20:$AC$22)</x:f>
        <x:v>0</x:v>
      </x:c>
      <x:c r="P8" s="16" t="n">
        <x:f>AVERAGE('Run Data'!$AB$20:$AB$22)</x:f>
        <x:v>-28.129795</x:v>
      </x:c>
      <x:c r="Q8" s="17" t="n">
        <x:f>AVERAGE('Run Data'!$R$20:$R$22)</x:f>
        <x:v>0.999</x:v>
      </x:c>
    </x:row>
    <x:row r="9">
      <x:c r="A9" t="str">
        <x:v>ALNS_VRPTW</x:v>
      </x:c>
      <x:c r="B9" t="str">
        <x:v>r103C10</x:v>
      </x:c>
      <x:c r="C9" t="str">
        <x:v>R</x:v>
      </x:c>
      <x:c r="D9" s="15" t="n">
        <x:v>10</x:v>
      </x:c>
      <x:c r="E9" s="15" t="n">
        <x:f>COUNT('Run Data'!$E$23:$E$25)</x:f>
        <x:v>3</x:v>
      </x:c>
      <x:c r="F9" s="16" t="n">
        <x:f>AVERAGE('Run Data'!$I$23:$I$25)</x:f>
        <x:v>2</x:v>
      </x:c>
      <x:c r="G9" s="16" t="n">
        <x:f>STDEV.S('Run Data'!$I$23:$I$25)</x:f>
        <x:v>0</x:v>
      </x:c>
      <x:c r="H9" s="16" t="n">
        <x:f>AVERAGE('Run Data'!$J$23:$J$25)</x:f>
        <x:v>188.66603</x:v>
      </x:c>
      <x:c r="I9" s="16" t="n">
        <x:f>STDEV.S('Run Data'!$J$23:$J$25)</x:f>
        <x:v>0</x:v>
      </x:c>
      <x:c r="J9" s="15" t="n">
        <x:f>MIN('Run Data'!$I$23:$I$25)</x:f>
        <x:v>2</x:v>
      </x:c>
      <x:c r="K9" s="16" t="n">
        <x:f>MINIFS('Run Data'!$J$23:$J$25,'Run Data'!$I$23:$I$25,J9)</x:f>
        <x:v>188.66603</x:v>
      </x:c>
      <x:c r="L9" s="15" t="n">
        <x:f>SUM('Run Data'!$H$23:$H$25)</x:f>
        <x:v>3</x:v>
      </x:c>
      <x:c r="M9" s="16" t="n">
        <x:f>AVERAGE('Run Data'!$K$23:$K$25)</x:f>
        <x:v>1.8629483333333334</x:v>
      </x:c>
      <x:c r="N9" s="15" t="n">
        <x:f>IF(G9+I9&gt;0,1,0)</x:f>
        <x:v>0</x:v>
      </x:c>
      <x:c r="O9" s="16" t="n">
        <x:f>AVERAGE('Run Data'!$AC$23:$AC$25)</x:f>
        <x:v>0</x:v>
      </x:c>
      <x:c r="P9" s="16" t="n">
        <x:f>AVERAGE('Run Data'!$AB$23:$AB$25)</x:f>
        <x:v>-60.332193</x:v>
      </x:c>
      <x:c r="Q9" s="17" t="n">
        <x:f>AVERAGE('Run Data'!$R$23:$R$25)</x:f>
        <x:v>0.9656666666666668</x:v>
      </x:c>
    </x:row>
    <x:row r="10">
      <x:c r="A10" t="str">
        <x:v>ALNS_VRPTW</x:v>
      </x:c>
      <x:c r="B10" t="str">
        <x:v>r105C15</x:v>
      </x:c>
      <x:c r="C10" t="str">
        <x:v>R</x:v>
      </x:c>
      <x:c r="D10" s="15" t="n">
        <x:v>15</x:v>
      </x:c>
      <x:c r="E10" s="15" t="n">
        <x:f>COUNT('Run Data'!$E$26:$E$28)</x:f>
        <x:v>3</x:v>
      </x:c>
      <x:c r="F10" s="16" t="n">
        <x:f>AVERAGE('Run Data'!$I$26:$I$28)</x:f>
        <x:v>3</x:v>
      </x:c>
      <x:c r="G10" s="16" t="n">
        <x:f>STDEV.S('Run Data'!$I$26:$I$28)</x:f>
        <x:v>0</x:v>
      </x:c>
      <x:c r="H10" s="16" t="n">
        <x:f>AVERAGE('Run Data'!$J$26:$J$28)</x:f>
        <x:v>312.407542</x:v>
      </x:c>
      <x:c r="I10" s="16" t="n">
        <x:f>STDEV.S('Run Data'!$J$26:$J$28)</x:f>
        <x:v>0</x:v>
      </x:c>
      <x:c r="J10" s="15" t="n">
        <x:f>MIN('Run Data'!$I$26:$I$28)</x:f>
        <x:v>3</x:v>
      </x:c>
      <x:c r="K10" s="16" t="n">
        <x:f>MINIFS('Run Data'!$J$26:$J$28,'Run Data'!$I$26:$I$28,J10)</x:f>
        <x:v>312.407542</x:v>
      </x:c>
      <x:c r="L10" s="15" t="n">
        <x:f>SUM('Run Data'!$H$26:$H$28)</x:f>
        <x:v>3</x:v>
      </x:c>
      <x:c r="M10" s="16" t="n">
        <x:f>AVERAGE('Run Data'!$K$26:$K$28)</x:f>
        <x:v>4.267301333333333</x:v>
      </x:c>
      <x:c r="N10" s="15" t="n">
        <x:f>IF(G10+I10&gt;0,1,0)</x:f>
        <x:v>0</x:v>
      </x:c>
      <x:c r="O10" s="16" t="n">
        <x:f>AVERAGE('Run Data'!$AC$26:$AC$28)</x:f>
        <x:v>0</x:v>
      </x:c>
      <x:c r="P10" s="16" t="n">
        <x:f>AVERAGE('Run Data'!$AB$26:$AB$28)</x:f>
        <x:v>-61.98378</x:v>
      </x:c>
      <x:c r="Q10" s="17" t="n">
        <x:f>AVERAGE('Run Data'!$R$26:$R$28)</x:f>
        <x:v>0.977</x:v>
      </x:c>
    </x:row>
    <x:row r="11">
      <x:c r="A11" t="str">
        <x:v>ALNS_VRPTW</x:v>
      </x:c>
      <x:c r="B11" t="str">
        <x:v>r202C5</x:v>
      </x:c>
      <x:c r="C11" t="str">
        <x:v>R</x:v>
      </x:c>
      <x:c r="D11" s="15" t="n">
        <x:v>5</x:v>
      </x:c>
      <x:c r="E11" s="15" t="n">
        <x:f>COUNT('Run Data'!$E$29:$E$31)</x:f>
        <x:v>3</x:v>
      </x:c>
      <x:c r="F11" s="16" t="n">
        <x:f>AVERAGE('Run Data'!$I$29:$I$31)</x:f>
        <x:v>1</x:v>
      </x:c>
      <x:c r="G11" s="16" t="n">
        <x:f>STDEV.S('Run Data'!$I$29:$I$31)</x:f>
        <x:v>0</x:v>
      </x:c>
      <x:c r="H11" s="16" t="n">
        <x:f>AVERAGE('Run Data'!$J$29:$J$31)</x:f>
        <x:v>140.535638</x:v>
      </x:c>
      <x:c r="I11" s="16" t="n">
        <x:f>STDEV.S('Run Data'!$J$29:$J$31)</x:f>
        <x:v>0</x:v>
      </x:c>
      <x:c r="J11" s="15" t="n">
        <x:f>MIN('Run Data'!$I$29:$I$31)</x:f>
        <x:v>1</x:v>
      </x:c>
      <x:c r="K11" s="16" t="n">
        <x:f>MINIFS('Run Data'!$J$29:$J$31,'Run Data'!$I$29:$I$31,J11)</x:f>
        <x:v>140.535638</x:v>
      </x:c>
      <x:c r="L11" s="15" t="n">
        <x:f>SUM('Run Data'!$H$29:$H$31)</x:f>
        <x:v>3</x:v>
      </x:c>
      <x:c r="M11" s="16" t="n">
        <x:f>AVERAGE('Run Data'!$K$29:$K$31)</x:f>
        <x:v>0.331907</x:v>
      </x:c>
      <x:c r="N11" s="15" t="n">
        <x:f>IF(G11+I11&gt;0,1,0)</x:f>
        <x:v>0</x:v>
      </x:c>
      <x:c r="O11" s="16" t="n">
        <x:f>AVERAGE('Run Data'!$AC$29:$AC$31)</x:f>
        <x:v>0</x:v>
      </x:c>
      <x:c r="P11" s="16" t="n">
        <x:f>AVERAGE('Run Data'!$AB$29:$AB$31)</x:f>
        <x:v>-79.905638</x:v>
      </x:c>
      <x:c r="Q11" s="17" t="n">
        <x:f>AVERAGE('Run Data'!$R$29:$R$31)</x:f>
        <x:v>1</x:v>
      </x:c>
    </x:row>
    <x:row r="12">
      <x:c r="A12" t="str">
        <x:v>ALNS_VRPTW</x:v>
      </x:c>
      <x:c r="B12" t="str">
        <x:v>r201C10</x:v>
      </x:c>
      <x:c r="C12" t="str">
        <x:v>R</x:v>
      </x:c>
      <x:c r="D12" s="15" t="n">
        <x:v>10</x:v>
      </x:c>
      <x:c r="E12" s="15" t="n">
        <x:f>COUNT('Run Data'!$E$32:$E$34)</x:f>
        <x:v>3</x:v>
      </x:c>
      <x:c r="F12" s="16" t="n">
        <x:f>AVERAGE('Run Data'!$I$32:$I$34)</x:f>
        <x:v>1</x:v>
      </x:c>
      <x:c r="G12" s="16" t="n">
        <x:f>STDEV.S('Run Data'!$I$32:$I$34)</x:f>
        <x:v>0</x:v>
      </x:c>
      <x:c r="H12" s="16" t="n">
        <x:f>AVERAGE('Run Data'!$J$32:$J$34)</x:f>
        <x:v>232.639282</x:v>
      </x:c>
      <x:c r="I12" s="16" t="n">
        <x:f>STDEV.S('Run Data'!$J$32:$J$34)</x:f>
        <x:v>0</x:v>
      </x:c>
      <x:c r="J12" s="15" t="n">
        <x:f>MIN('Run Data'!$I$32:$I$34)</x:f>
        <x:v>1</x:v>
      </x:c>
      <x:c r="K12" s="16" t="n">
        <x:f>MINIFS('Run Data'!$J$32:$J$34,'Run Data'!$I$32:$I$34,J12)</x:f>
        <x:v>232.639282</x:v>
      </x:c>
      <x:c r="L12" s="15" t="n">
        <x:f>SUM('Run Data'!$H$32:$H$34)</x:f>
        <x:v>3</x:v>
      </x:c>
      <x:c r="M12" s="16" t="n">
        <x:f>AVERAGE('Run Data'!$K$32:$K$34)</x:f>
        <x:v>1.4080873333333332</x:v>
      </x:c>
      <x:c r="N12" s="15" t="n">
        <x:f>IF(G12+I12&gt;0,1,0)</x:f>
        <x:v>0</x:v>
      </x:c>
      <x:c r="O12" s="16" t="n">
        <x:f>AVERAGE('Run Data'!$AC$32:$AC$34)</x:f>
        <x:v>0</x:v>
      </x:c>
      <x:c r="P12" s="16" t="n">
        <x:f>AVERAGE('Run Data'!$AB$32:$AB$34)</x:f>
        <x:v>-172.009282</x:v>
      </x:c>
      <x:c r="Q12" s="17" t="n">
        <x:f>AVERAGE('Run Data'!$R$32:$R$34)</x:f>
        <x:v>0.995</x:v>
      </x:c>
    </x:row>
    <x:row r="13">
      <x:c r="A13" t="str">
        <x:v>ALNS_VRPTW</x:v>
      </x:c>
      <x:c r="B13" t="str">
        <x:v>r202C15</x:v>
      </x:c>
      <x:c r="C13" t="str">
        <x:v>R</x:v>
      </x:c>
      <x:c r="D13" s="15" t="n">
        <x:v>15</x:v>
      </x:c>
      <x:c r="E13" s="15" t="n">
        <x:f>COUNT('Run Data'!$E$35:$E$37)</x:f>
        <x:v>3</x:v>
      </x:c>
      <x:c r="F13" s="16" t="n">
        <x:f>AVERAGE('Run Data'!$I$35:$I$37)</x:f>
        <x:v>1</x:v>
      </x:c>
      <x:c r="G13" s="16" t="n">
        <x:f>STDEV.S('Run Data'!$I$35:$I$37)</x:f>
        <x:v>0</x:v>
      </x:c>
      <x:c r="H13" s="16" t="n">
        <x:f>AVERAGE('Run Data'!$J$35:$J$37)</x:f>
        <x:v>405.63445699999994</x:v>
      </x:c>
      <x:c r="I13" s="16" t="n">
        <x:f>STDEV.S('Run Data'!$J$35:$J$37)</x:f>
        <x:v>6.961868572213853e-14</x:v>
      </x:c>
      <x:c r="J13" s="15" t="n">
        <x:f>MIN('Run Data'!$I$35:$I$37)</x:f>
        <x:v>1</x:v>
      </x:c>
      <x:c r="K13" s="16" t="n">
        <x:f>MINIFS('Run Data'!$J$35:$J$37,'Run Data'!$I$35:$I$37,J13)</x:f>
        <x:v>405.634457</x:v>
      </x:c>
      <x:c r="L13" s="15" t="n">
        <x:f>SUM('Run Data'!$H$35:$H$37)</x:f>
        <x:v>3</x:v>
      </x:c>
      <x:c r="M13" s="16" t="n">
        <x:f>AVERAGE('Run Data'!$K$35:$K$37)</x:f>
        <x:v>5.133309333333333</x:v>
      </x:c>
      <x:c r="N13" s="15" t="n">
        <x:f>IF(G13+I13&gt;0,1,0)</x:f>
        <x:v>0</x:v>
      </x:c>
      <x:c r="O13" s="16" t="n">
        <x:f>AVERAGE('Run Data'!$AC$35:$AC$37)</x:f>
        <x:v>0</x:v>
      </x:c>
      <x:c r="P13" s="16" t="n">
        <x:f>AVERAGE('Run Data'!$AB$35:$AB$37)</x:f>
        <x:v>-345.004457</x:v>
      </x:c>
      <x:c r="Q13" s="17" t="n">
        <x:f>AVERAGE('Run Data'!$R$35:$R$37)</x:f>
        <x:v>0.6683333333333333</x:v>
      </x:c>
    </x:row>
    <x:row r="14">
      <x:c r="A14" t="str">
        <x:v>ALNS_VRPTW</x:v>
      </x:c>
      <x:c r="B14" t="str">
        <x:v>rc105C5</x:v>
      </x:c>
      <x:c r="C14" t="str">
        <x:v>RC</x:v>
      </x:c>
      <x:c r="D14" s="15" t="n">
        <x:v>5</x:v>
      </x:c>
      <x:c r="E14" s="15" t="n">
        <x:f>COUNT('Run Data'!$E$38:$E$40)</x:f>
        <x:v>3</x:v>
      </x:c>
      <x:c r="F14" s="16" t="n">
        <x:f>AVERAGE('Run Data'!$I$38:$I$40)</x:f>
        <x:v>2</x:v>
      </x:c>
      <x:c r="G14" s="16" t="n">
        <x:f>STDEV.S('Run Data'!$I$38:$I$40)</x:f>
        <x:v>0</x:v>
      </x:c>
      <x:c r="H14" s="16" t="n">
        <x:f>AVERAGE('Run Data'!$J$38:$J$40)</x:f>
        <x:v>227.184742</x:v>
      </x:c>
      <x:c r="I14" s="16" t="n">
        <x:f>STDEV.S('Run Data'!$J$38:$J$40)</x:f>
        <x:v>0</x:v>
      </x:c>
      <x:c r="J14" s="15" t="n">
        <x:f>MIN('Run Data'!$I$38:$I$40)</x:f>
        <x:v>2</x:v>
      </x:c>
      <x:c r="K14" s="16" t="n">
        <x:f>MINIFS('Run Data'!$J$38:$J$40,'Run Data'!$I$38:$I$40,J14)</x:f>
        <x:v>227.184742</x:v>
      </x:c>
      <x:c r="L14" s="15" t="n">
        <x:f>SUM('Run Data'!$H$38:$H$40)</x:f>
        <x:v>3</x:v>
      </x:c>
      <x:c r="M14" s="16" t="n">
        <x:f>AVERAGE('Run Data'!$K$38:$K$40)</x:f>
        <x:v>0.348865</x:v>
      </x:c>
      <x:c r="N14" s="15" t="n">
        <x:f>IF(G14+I14&gt;0,1,0)</x:f>
        <x:v>0</x:v>
      </x:c>
      <x:c r="O14" s="16" t="n">
        <x:f>AVERAGE('Run Data'!$AC$38:$AC$40)</x:f>
        <x:v>0</x:v>
      </x:c>
      <x:c r="P14" s="16" t="n">
        <x:f>AVERAGE('Run Data'!$AB$38:$AB$40)</x:f>
        <x:v>-40.300752</x:v>
      </x:c>
      <x:c r="Q14" s="17" t="n">
        <x:f>AVERAGE('Run Data'!$R$38:$R$40)</x:f>
        <x:v>0.999</x:v>
      </x:c>
    </x:row>
    <x:row r="15">
      <x:c r="A15" t="str">
        <x:v>ALNS_VRPTW</x:v>
      </x:c>
      <x:c r="B15" t="str">
        <x:v>rc102C10</x:v>
      </x:c>
      <x:c r="C15" t="str">
        <x:v>RC</x:v>
      </x:c>
      <x:c r="D15" s="15" t="n">
        <x:v>10</x:v>
      </x:c>
      <x:c r="E15" s="15" t="n">
        <x:f>COUNT('Run Data'!$E$41:$E$43)</x:f>
        <x:v>3</x:v>
      </x:c>
      <x:c r="F15" s="16" t="n">
        <x:f>AVERAGE('Run Data'!$I$41:$I$43)</x:f>
        <x:v>3</x:v>
      </x:c>
      <x:c r="G15" s="16" t="n">
        <x:f>STDEV.S('Run Data'!$I$41:$I$43)</x:f>
        <x:v>0</x:v>
      </x:c>
      <x:c r="H15" s="16" t="n">
        <x:f>AVERAGE('Run Data'!$J$41:$J$43)</x:f>
        <x:v>384.74964500000004</x:v>
      </x:c>
      <x:c r="I15" s="16" t="n">
        <x:f>STDEV.S('Run Data'!$J$41:$J$43)</x:f>
        <x:v>6.961868572213853e-14</x:v>
      </x:c>
      <x:c r="J15" s="15" t="n">
        <x:f>MIN('Run Data'!$I$41:$I$43)</x:f>
        <x:v>3</x:v>
      </x:c>
      <x:c r="K15" s="16" t="n">
        <x:f>MINIFS('Run Data'!$J$41:$J$43,'Run Data'!$I$41:$I$43,J15)</x:f>
        <x:v>384.749645</x:v>
      </x:c>
      <x:c r="L15" s="15" t="n">
        <x:f>SUM('Run Data'!$H$41:$H$43)</x:f>
        <x:v>3</x:v>
      </x:c>
      <x:c r="M15" s="16" t="n">
        <x:f>AVERAGE('Run Data'!$K$41:$K$43)</x:f>
        <x:v>1.748797</x:v>
      </x:c>
      <x:c r="N15" s="15" t="n">
        <x:f>IF(G15+I15&gt;0,1,0)</x:f>
        <x:v>0</x:v>
      </x:c>
      <x:c r="O15" s="16" t="n">
        <x:f>AVERAGE('Run Data'!$AC$41:$AC$43)</x:f>
        <x:v>0</x:v>
      </x:c>
      <x:c r="P15" s="16" t="n">
        <x:f>AVERAGE('Run Data'!$AB$41:$AB$43)</x:f>
        <x:v>-81.364337</x:v>
      </x:c>
      <x:c r="Q15" s="17" t="n">
        <x:f>AVERAGE('Run Data'!$R$41:$R$43)</x:f>
        <x:v>0.9540000000000001</x:v>
      </x:c>
    </x:row>
    <x:row r="16">
      <x:c r="A16" t="str">
        <x:v>ALNS_VRPTW</x:v>
      </x:c>
      <x:c r="B16" t="str">
        <x:v>rc103C15</x:v>
      </x:c>
      <x:c r="C16" t="str">
        <x:v>RC</x:v>
      </x:c>
      <x:c r="D16" s="15" t="n">
        <x:v>15</x:v>
      </x:c>
      <x:c r="E16" s="15" t="n">
        <x:f>COUNT('Run Data'!$E$44:$E$46)</x:f>
        <x:v>3</x:v>
      </x:c>
      <x:c r="F16" s="16" t="n">
        <x:f>AVERAGE('Run Data'!$I$44:$I$46)</x:f>
        <x:v>3</x:v>
      </x:c>
      <x:c r="G16" s="16" t="n">
        <x:f>STDEV.S('Run Data'!$I$44:$I$46)</x:f>
        <x:v>0</x:v>
      </x:c>
      <x:c r="H16" s="16" t="n">
        <x:f>AVERAGE('Run Data'!$J$44:$J$46)</x:f>
        <x:v>510.998472</x:v>
      </x:c>
      <x:c r="I16" s="16" t="n">
        <x:f>STDEV.S('Run Data'!$J$44:$J$46)</x:f>
        <x:v>0</x:v>
      </x:c>
      <x:c r="J16" s="15" t="n">
        <x:f>MIN('Run Data'!$I$44:$I$46)</x:f>
        <x:v>3</x:v>
      </x:c>
      <x:c r="K16" s="16" t="n">
        <x:f>MINIFS('Run Data'!$J$44:$J$46,'Run Data'!$I$44:$I$46,J16)</x:f>
        <x:v>510.998472</x:v>
      </x:c>
      <x:c r="L16" s="15" t="n">
        <x:f>SUM('Run Data'!$H$44:$H$46)</x:f>
        <x:v>3</x:v>
      </x:c>
      <x:c r="M16" s="16" t="n">
        <x:f>AVERAGE('Run Data'!$K$44:$K$46)</x:f>
        <x:v>6.61715</x:v>
      </x:c>
      <x:c r="N16" s="15" t="n">
        <x:f>IF(G16+I16&gt;0,1,0)</x:f>
        <x:v>0</x:v>
      </x:c>
      <x:c r="O16" s="16" t="n">
        <x:f>AVERAGE('Run Data'!$AC$44:$AC$46)</x:f>
        <x:v>0</x:v>
      </x:c>
      <x:c r="P16" s="16" t="n">
        <x:f>AVERAGE('Run Data'!$AB$44:$AB$46)</x:f>
        <x:v>-98.979667</x:v>
      </x:c>
      <x:c r="Q16" s="17" t="n">
        <x:f>AVERAGE('Run Data'!$R$44:$R$46)</x:f>
        <x:v>0.8636666666666667</x:v>
      </x:c>
    </x:row>
    <x:row r="17">
      <x:c r="A17" t="str">
        <x:v>ALNS_VRPTW</x:v>
      </x:c>
      <x:c r="B17" t="str">
        <x:v>rc204C5</x:v>
      </x:c>
      <x:c r="C17" t="str">
        <x:v>RC</x:v>
      </x:c>
      <x:c r="D17" s="15" t="n">
        <x:v>5</x:v>
      </x:c>
      <x:c r="E17" s="15" t="n">
        <x:f>COUNT('Run Data'!$E$47:$E$49)</x:f>
        <x:v>3</x:v>
      </x:c>
      <x:c r="F17" s="16" t="n">
        <x:f>AVERAGE('Run Data'!$I$47:$I$49)</x:f>
        <x:v>1</x:v>
      </x:c>
      <x:c r="G17" s="16" t="n">
        <x:f>STDEV.S('Run Data'!$I$47:$I$49)</x:f>
        <x:v>0</x:v>
      </x:c>
      <x:c r="H17" s="16" t="n">
        <x:f>AVERAGE('Run Data'!$J$47:$J$49)</x:f>
        <x:v>172.02762399999997</x:v>
      </x:c>
      <x:c r="I17" s="16" t="n">
        <x:f>STDEV.S('Run Data'!$J$47:$J$49)</x:f>
        <x:v>3.4809342861069267e-14</x:v>
      </x:c>
      <x:c r="J17" s="15" t="n">
        <x:f>MIN('Run Data'!$I$47:$I$49)</x:f>
        <x:v>1</x:v>
      </x:c>
      <x:c r="K17" s="16" t="n">
        <x:f>MINIFS('Run Data'!$J$47:$J$49,'Run Data'!$I$47:$I$49,J17)</x:f>
        <x:v>172.027624</x:v>
      </x:c>
      <x:c r="L17" s="15" t="n">
        <x:f>SUM('Run Data'!$H$47:$H$49)</x:f>
        <x:v>3</x:v>
      </x:c>
      <x:c r="M17" s="16" t="n">
        <x:f>AVERAGE('Run Data'!$K$47:$K$49)</x:f>
        <x:v>0.41846466666666665</x:v>
      </x:c>
      <x:c r="N17" s="15" t="n">
        <x:f>IF(G17+I17&gt;0,1,0)</x:f>
        <x:v>0</x:v>
      </x:c>
      <x:c r="O17" s="16" t="n">
        <x:f>AVERAGE('Run Data'!$AC$47:$AC$49)</x:f>
        <x:v>0</x:v>
      </x:c>
      <x:c r="P17" s="16" t="n">
        <x:f>AVERAGE('Run Data'!$AB$47:$AB$49)</x:f>
        <x:v>-94.277624</x:v>
      </x:c>
      <x:c r="Q17" s="17" t="n">
        <x:f>AVERAGE('Run Data'!$R$47:$R$49)</x:f>
        <x:v>1</x:v>
      </x:c>
    </x:row>
    <x:row r="18">
      <x:c r="A18" t="str">
        <x:v>ALNS_VRPTW</x:v>
      </x:c>
      <x:c r="B18" t="str">
        <x:v>rc201C10</x:v>
      </x:c>
      <x:c r="C18" t="str">
        <x:v>RC</x:v>
      </x:c>
      <x:c r="D18" s="15" t="n">
        <x:v>10</x:v>
      </x:c>
      <x:c r="E18" s="15" t="n">
        <x:f>COUNT('Run Data'!$E$50:$E$52)</x:f>
        <x:v>3</x:v>
      </x:c>
      <x:c r="F18" s="16" t="n">
        <x:f>AVERAGE('Run Data'!$I$50:$I$52)</x:f>
        <x:v>1</x:v>
      </x:c>
      <x:c r="G18" s="16" t="n">
        <x:f>STDEV.S('Run Data'!$I$50:$I$52)</x:f>
        <x:v>0</x:v>
      </x:c>
      <x:c r="H18" s="16" t="n">
        <x:f>AVERAGE('Run Data'!$J$50:$J$52)</x:f>
        <x:v>399.645781</x:v>
      </x:c>
      <x:c r="I18" s="16" t="n">
        <x:f>STDEV.S('Run Data'!$J$50:$J$52)</x:f>
        <x:v>0</x:v>
      </x:c>
      <x:c r="J18" s="15" t="n">
        <x:f>MIN('Run Data'!$I$50:$I$52)</x:f>
        <x:v>1</x:v>
      </x:c>
      <x:c r="K18" s="16" t="n">
        <x:f>MINIFS('Run Data'!$J$50:$J$52,'Run Data'!$I$50:$I$52,J18)</x:f>
        <x:v>399.645781</x:v>
      </x:c>
      <x:c r="L18" s="15" t="n">
        <x:f>SUM('Run Data'!$H$50:$H$52)</x:f>
        <x:v>3</x:v>
      </x:c>
      <x:c r="M18" s="16" t="n">
        <x:f>AVERAGE('Run Data'!$K$50:$K$52)</x:f>
        <x:v>1.2612026666666667</x:v>
      </x:c>
      <x:c r="N18" s="15" t="n">
        <x:f>IF(G18+I18&gt;0,1,0)</x:f>
        <x:v>0</x:v>
      </x:c>
      <x:c r="O18" s="16" t="n">
        <x:f>AVERAGE('Run Data'!$AC$50:$AC$52)</x:f>
        <x:v>0</x:v>
      </x:c>
      <x:c r="P18" s="16" t="n">
        <x:f>AVERAGE('Run Data'!$AB$50:$AB$52)</x:f>
        <x:v>-321.895781</x:v>
      </x:c>
      <x:c r="Q18" s="17" t="n">
        <x:f>AVERAGE('Run Data'!$R$50:$R$52)</x:f>
        <x:v>0.979</x:v>
      </x:c>
    </x:row>
    <x:row r="19">
      <x:c r="A19" t="str">
        <x:v>ALNS_VRPTW</x:v>
      </x:c>
      <x:c r="B19" t="str">
        <x:v>rc202C15</x:v>
      </x:c>
      <x:c r="C19" t="str">
        <x:v>RC</x:v>
      </x:c>
      <x:c r="D19" s="15" t="n">
        <x:v>15</x:v>
      </x:c>
      <x:c r="E19" s="15" t="n">
        <x:f>COUNT('Run Data'!$E$53:$E$55)</x:f>
        <x:v>3</x:v>
      </x:c>
      <x:c r="F19" s="16" t="n">
        <x:f>AVERAGE('Run Data'!$I$53:$I$55)</x:f>
        <x:v>1</x:v>
      </x:c>
      <x:c r="G19" s="16" t="n">
        <x:f>STDEV.S('Run Data'!$I$53:$I$55)</x:f>
        <x:v>0</x:v>
      </x:c>
      <x:c r="H19" s="16" t="n">
        <x:f>AVERAGE('Run Data'!$J$53:$J$55)</x:f>
        <x:v>599.872561</x:v>
      </x:c>
      <x:c r="I19" s="16" t="n">
        <x:f>STDEV.S('Run Data'!$J$53:$J$55)</x:f>
        <x:v>0</x:v>
      </x:c>
      <x:c r="J19" s="15" t="n">
        <x:f>MIN('Run Data'!$I$53:$I$55)</x:f>
        <x:v>1</x:v>
      </x:c>
      <x:c r="K19" s="16" t="n">
        <x:f>MINIFS('Run Data'!$J$53:$J$55,'Run Data'!$I$53:$I$55,J19)</x:f>
        <x:v>599.872561</x:v>
      </x:c>
      <x:c r="L19" s="15" t="n">
        <x:f>SUM('Run Data'!$H$53:$H$55)</x:f>
        <x:v>3</x:v>
      </x:c>
      <x:c r="M19" s="16" t="n">
        <x:f>AVERAGE('Run Data'!$K$53:$K$55)</x:f>
        <x:v>3.7322586666666666</x:v>
      </x:c>
      <x:c r="N19" s="15" t="n">
        <x:f>IF(G19+I19&gt;0,1,0)</x:f>
        <x:v>0</x:v>
      </x:c>
      <x:c r="O19" s="16" t="n">
        <x:f>AVERAGE('Run Data'!$AC$53:$AC$55)</x:f>
        <x:v>0</x:v>
      </x:c>
      <x:c r="P19" s="16" t="n">
        <x:f>AVERAGE('Run Data'!$AB$53:$AB$55)</x:f>
        <x:v>-522.122561</x:v>
      </x:c>
      <x:c r="Q19" s="17" t="n">
        <x:f>AVERAGE('Run Data'!$R$53:$R$55)</x:f>
        <x:v>0.967</x:v>
      </x:c>
    </x:row>
    <x:row r="20">
      <x:c r="A20" t="str">
        <x:v>Full_ALNS_EVRPTW</x:v>
      </x:c>
      <x:c r="B20" t="str">
        <x:v>c101C5</x:v>
      </x:c>
      <x:c r="C20" t="str">
        <x:v>C</x:v>
      </x:c>
      <x:c r="D20" s="15" t="n">
        <x:v>5</x:v>
      </x:c>
      <x:c r="E20" s="15" t="n">
        <x:f>COUNT('Run Data'!$E$56:$E$58)</x:f>
        <x:v>3</x:v>
      </x:c>
      <x:c r="F20" s="16" t="n">
        <x:f>AVERAGE('Run Data'!$I$56:$I$58)</x:f>
        <x:v>3</x:v>
      </x:c>
      <x:c r="G20" s="16" t="n">
        <x:f>STDEV.S('Run Data'!$I$56:$I$58)</x:f>
        <x:v>0</x:v>
      </x:c>
      <x:c r="H20" s="16" t="n">
        <x:f>AVERAGE('Run Data'!$J$56:$J$58)</x:f>
        <x:v>247.149706</x:v>
      </x:c>
      <x:c r="I20" s="16" t="n">
        <x:f>STDEV.S('Run Data'!$J$56:$J$58)</x:f>
        <x:v>0</x:v>
      </x:c>
      <x:c r="J20" s="15" t="n">
        <x:f>MIN('Run Data'!$I$56:$I$58)</x:f>
        <x:v>3</x:v>
      </x:c>
      <x:c r="K20" s="16" t="n">
        <x:f>MINIFS('Run Data'!$J$56:$J$58,'Run Data'!$I$56:$I$58,J20)</x:f>
        <x:v>247.149706</x:v>
      </x:c>
      <x:c r="L20" s="15" t="n">
        <x:f>SUM('Run Data'!$H$56:$H$58)</x:f>
        <x:v>3</x:v>
      </x:c>
      <x:c r="M20" s="16" t="n">
        <x:f>AVERAGE('Run Data'!$K$56:$K$58)</x:f>
        <x:v>1.1630120000000002</x:v>
      </x:c>
      <x:c r="N20" s="15" t="n">
        <x:f>IF(G20+I20&gt;0,1,0)</x:f>
        <x:v>0</x:v>
      </x:c>
      <x:c r="O20" s="16" t="n">
        <x:f>AVERAGE('Run Data'!$AC$56:$AC$58)</x:f>
        <x:v>2</x:v>
      </x:c>
      <x:c r="P20" s="16" t="n">
        <x:f>AVERAGE('Run Data'!$AB$56:$AB$58)</x:f>
        <x:v>2.113492</x:v>
      </x:c>
      <x:c r="Q20" s="17" t="n">
        <x:f>AVERAGE('Run Data'!$R$56:$R$58)</x:f>
        <x:v>0.9986666666666667</x:v>
      </x:c>
    </x:row>
    <x:row r="21">
      <x:c r="A21" t="str">
        <x:v>Full_ALNS_EVRPTW</x:v>
      </x:c>
      <x:c r="B21" t="str">
        <x:v>c101C10</x:v>
      </x:c>
      <x:c r="C21" t="str">
        <x:v>C</x:v>
      </x:c>
      <x:c r="D21" s="15" t="n">
        <x:v>10</x:v>
      </x:c>
      <x:c r="E21" s="15" t="n">
        <x:f>COUNT('Run Data'!$E$59:$E$61)</x:f>
        <x:v>3</x:v>
      </x:c>
      <x:c r="F21" s="16" t="n">
        <x:f>AVERAGE('Run Data'!$I$59:$I$61)</x:f>
        <x:v>3</x:v>
      </x:c>
      <x:c r="G21" s="16" t="n">
        <x:f>STDEV.S('Run Data'!$I$59:$I$61)</x:f>
        <x:v>0</x:v>
      </x:c>
      <x:c r="H21" s="16" t="n">
        <x:f>AVERAGE('Run Data'!$J$59:$J$61)</x:f>
        <x:v>408.477828</x:v>
      </x:c>
      <x:c r="I21" s="16" t="n">
        <x:f>STDEV.S('Run Data'!$J$59:$J$61)</x:f>
        <x:v>0</x:v>
      </x:c>
      <x:c r="J21" s="15" t="n">
        <x:f>MIN('Run Data'!$I$59:$I$61)</x:f>
        <x:v>3</x:v>
      </x:c>
      <x:c r="K21" s="16" t="n">
        <x:f>MINIFS('Run Data'!$J$59:$J$61,'Run Data'!$I$59:$I$61,J21)</x:f>
        <x:v>408.477828</x:v>
      </x:c>
      <x:c r="L21" s="15" t="n">
        <x:f>SUM('Run Data'!$H$59:$H$61)</x:f>
        <x:v>3</x:v>
      </x:c>
      <x:c r="M21" s="16" t="n">
        <x:f>AVERAGE('Run Data'!$K$59:$K$61)</x:f>
        <x:v>22.414756</x:v>
      </x:c>
      <x:c r="N21" s="15" t="n">
        <x:f>IF(G21+I21&gt;0,1,0)</x:f>
        <x:v>0</x:v>
      </x:c>
      <x:c r="O21" s="16" t="n">
        <x:f>AVERAGE('Run Data'!$AC$59:$AC$61)</x:f>
        <x:v>5</x:v>
      </x:c>
      <x:c r="P21" s="16" t="n">
        <x:f>AVERAGE('Run Data'!$AB$59:$AB$61)</x:f>
        <x:v>8.21048</x:v>
      </x:c>
      <x:c r="Q21" s="17" t="n">
        <x:f>AVERAGE('Run Data'!$R$59:$R$61)</x:f>
        <x:v>0.8889999999999999</x:v>
      </x:c>
    </x:row>
    <x:row r="22">
      <x:c r="A22" t="str">
        <x:v>Full_ALNS_EVRPTW</x:v>
      </x:c>
      <x:c r="B22" t="str">
        <x:v>c103C15</x:v>
      </x:c>
      <x:c r="C22" t="str">
        <x:v>C</x:v>
      </x:c>
      <x:c r="D22" s="15" t="n">
        <x:v>15</x:v>
      </x:c>
      <x:c r="E22" s="15" t="n">
        <x:f>COUNT('Run Data'!$E$62:$E$64)</x:f>
        <x:v>3</x:v>
      </x:c>
      <x:c r="F22" s="16" t="n">
        <x:f>AVERAGE('Run Data'!$I$62:$I$64)</x:f>
        <x:v>3</x:v>
      </x:c>
      <x:c r="G22" s="16" t="n">
        <x:f>STDEV.S('Run Data'!$I$62:$I$64)</x:f>
        <x:v>0</x:v>
      </x:c>
      <x:c r="H22" s="16" t="n">
        <x:f>AVERAGE('Run Data'!$J$62:$J$64)</x:f>
        <x:v>392.977769</x:v>
      </x:c>
      <x:c r="I22" s="16" t="n">
        <x:f>STDEV.S('Run Data'!$J$62:$J$64)</x:f>
        <x:v>0</x:v>
      </x:c>
      <x:c r="J22" s="15" t="n">
        <x:f>MIN('Run Data'!$I$62:$I$64)</x:f>
        <x:v>3</x:v>
      </x:c>
      <x:c r="K22" s="16" t="n">
        <x:f>MINIFS('Run Data'!$J$62:$J$64,'Run Data'!$I$62:$I$64,J22)</x:f>
        <x:v>392.977769</x:v>
      </x:c>
      <x:c r="L22" s="15" t="n">
        <x:f>SUM('Run Data'!$H$62:$H$64)</x:f>
        <x:v>3</x:v>
      </x:c>
      <x:c r="M22" s="16" t="n">
        <x:f>AVERAGE('Run Data'!$K$62:$K$64)</x:f>
        <x:v>78.991645</x:v>
      </x:c>
      <x:c r="N22" s="15" t="n">
        <x:f>IF(G22+I22&gt;0,1,0)</x:f>
        <x:v>0</x:v>
      </x:c>
      <x:c r="O22" s="16" t="n">
        <x:f>AVERAGE('Run Data'!$AC$62:$AC$64)</x:f>
        <x:v>4</x:v>
      </x:c>
      <x:c r="P22" s="16" t="n">
        <x:f>AVERAGE('Run Data'!$AB$62:$AB$64)</x:f>
        <x:v>1.327451</x:v>
      </x:c>
      <x:c r="Q22" s="17" t="n">
        <x:f>AVERAGE('Run Data'!$R$62:$R$64)</x:f>
        <x:v>0.875</x:v>
      </x:c>
    </x:row>
    <x:row r="23">
      <x:c r="A23" t="str">
        <x:v>Full_ALNS_EVRPTW</x:v>
      </x:c>
      <x:c r="B23" t="str">
        <x:v>c206C5</x:v>
      </x:c>
      <x:c r="C23" t="str">
        <x:v>C</x:v>
      </x:c>
      <x:c r="D23" s="15" t="n">
        <x:v>5</x:v>
      </x:c>
      <x:c r="E23" s="15" t="n">
        <x:f>COUNT('Run Data'!$E$65:$E$67)</x:f>
        <x:v>3</x:v>
      </x:c>
      <x:c r="F23" s="16" t="n">
        <x:f>AVERAGE('Run Data'!$I$65:$I$67)</x:f>
        <x:v>1</x:v>
      </x:c>
      <x:c r="G23" s="16" t="n">
        <x:f>STDEV.S('Run Data'!$I$65:$I$67)</x:f>
        <x:v>0</x:v>
      </x:c>
      <x:c r="H23" s="16" t="n">
        <x:f>AVERAGE('Run Data'!$J$65:$J$67)</x:f>
        <x:v>242.555652</x:v>
      </x:c>
      <x:c r="I23" s="16" t="n">
        <x:f>STDEV.S('Run Data'!$J$65:$J$67)</x:f>
        <x:v>0</x:v>
      </x:c>
      <x:c r="J23" s="15" t="n">
        <x:f>MIN('Run Data'!$I$65:$I$67)</x:f>
        <x:v>1</x:v>
      </x:c>
      <x:c r="K23" s="16" t="n">
        <x:f>MINIFS('Run Data'!$J$65:$J$67,'Run Data'!$I$65:$I$67,J23)</x:f>
        <x:v>242.555652</x:v>
      </x:c>
      <x:c r="L23" s="15" t="n">
        <x:f>SUM('Run Data'!$H$65:$H$67)</x:f>
        <x:v>3</x:v>
      </x:c>
      <x:c r="M23" s="16" t="n">
        <x:f>AVERAGE('Run Data'!$K$65:$K$67)</x:f>
        <x:v>2.2436986666666665</x:v>
      </x:c>
      <x:c r="N23" s="15" t="n">
        <x:f>IF(G23+I23&gt;0,1,0)</x:f>
        <x:v>0</x:v>
      </x:c>
      <x:c r="O23" s="16" t="n">
        <x:f>AVERAGE('Run Data'!$AC$65:$AC$67)</x:f>
        <x:v>3</x:v>
      </x:c>
      <x:c r="P23" s="16" t="n">
        <x:f>AVERAGE('Run Data'!$AB$65:$AB$67)</x:f>
        <x:v>1.592269</x:v>
      </x:c>
      <x:c r="Q23" s="17" t="n">
        <x:f>AVERAGE('Run Data'!$R$65:$R$67)</x:f>
        <x:v>1</x:v>
      </x:c>
    </x:row>
    <x:row r="24">
      <x:c r="A24" t="str">
        <x:v>Full_ALNS_EVRPTW</x:v>
      </x:c>
      <x:c r="B24" t="str">
        <x:v>c202C10</x:v>
      </x:c>
      <x:c r="C24" t="str">
        <x:v>C</x:v>
      </x:c>
      <x:c r="D24" s="15" t="n">
        <x:v>10</x:v>
      </x:c>
      <x:c r="E24" s="15" t="n">
        <x:f>COUNT('Run Data'!$E$68:$E$70)</x:f>
        <x:v>3</x:v>
      </x:c>
      <x:c r="F24" s="16" t="n">
        <x:f>AVERAGE('Run Data'!$I$68:$I$70)</x:f>
        <x:v>1</x:v>
      </x:c>
      <x:c r="G24" s="16" t="n">
        <x:f>STDEV.S('Run Data'!$I$68:$I$70)</x:f>
        <x:v>0</x:v>
      </x:c>
      <x:c r="H24" s="16" t="n">
        <x:f>AVERAGE('Run Data'!$J$68:$J$70)</x:f>
        <x:v>304.058332</x:v>
      </x:c>
      <x:c r="I24" s="16" t="n">
        <x:f>STDEV.S('Run Data'!$J$68:$J$70)</x:f>
        <x:v>0</x:v>
      </x:c>
      <x:c r="J24" s="15" t="n">
        <x:f>MIN('Run Data'!$I$68:$I$70)</x:f>
        <x:v>1</x:v>
      </x:c>
      <x:c r="K24" s="16" t="n">
        <x:f>MINIFS('Run Data'!$J$68:$J$70,'Run Data'!$I$68:$I$70,J24)</x:f>
        <x:v>304.058332</x:v>
      </x:c>
      <x:c r="L24" s="15" t="n">
        <x:f>SUM('Run Data'!$H$68:$H$70)</x:f>
        <x:v>3</x:v>
      </x:c>
      <x:c r="M24" s="16" t="n">
        <x:f>AVERAGE('Run Data'!$K$68:$K$70)</x:f>
        <x:v>28.660606</x:v>
      </x:c>
      <x:c r="N24" s="15" t="n">
        <x:f>IF(G24+I24&gt;0,1,0)</x:f>
        <x:v>0</x:v>
      </x:c>
      <x:c r="O24" s="16" t="n">
        <x:f>AVERAGE('Run Data'!$AC$68:$AC$70)</x:f>
        <x:v>5</x:v>
      </x:c>
      <x:c r="P24" s="16" t="n">
        <x:f>AVERAGE('Run Data'!$AB$68:$AB$70)</x:f>
        <x:v>9.470097</x:v>
      </x:c>
      <x:c r="Q24" s="17" t="n">
        <x:f>AVERAGE('Run Data'!$R$68:$R$70)</x:f>
        <x:v>0.999</x:v>
      </x:c>
    </x:row>
    <x:row r="25">
      <x:c r="A25" t="str">
        <x:v>Full_ALNS_EVRPTW</x:v>
      </x:c>
      <x:c r="B25" t="str">
        <x:v>c202C15</x:v>
      </x:c>
      <x:c r="C25" t="str">
        <x:v>C</x:v>
      </x:c>
      <x:c r="D25" s="15" t="n">
        <x:v>15</x:v>
      </x:c>
      <x:c r="E25" s="15" t="n">
        <x:f>COUNT('Run Data'!$E$71:$E$73)</x:f>
        <x:v>3</x:v>
      </x:c>
      <x:c r="F25" s="16" t="n">
        <x:f>AVERAGE('Run Data'!$I$71:$I$73)</x:f>
        <x:v>3</x:v>
      </x:c>
      <x:c r="G25" s="16" t="n">
        <x:f>STDEV.S('Run Data'!$I$71:$I$73)</x:f>
        <x:v>0</x:v>
      </x:c>
      <x:c r="H25" s="16" t="n">
        <x:f>AVERAGE('Run Data'!$J$71:$J$73)</x:f>
        <x:v>376.789292</x:v>
      </x:c>
      <x:c r="I25" s="16" t="n">
        <x:f>STDEV.S('Run Data'!$J$71:$J$73)</x:f>
        <x:v>0</x:v>
      </x:c>
      <x:c r="J25" s="15" t="n">
        <x:f>MIN('Run Data'!$I$71:$I$73)</x:f>
        <x:v>3</x:v>
      </x:c>
      <x:c r="K25" s="16" t="n">
        <x:f>MINIFS('Run Data'!$J$71:$J$73,'Run Data'!$I$71:$I$73,J25)</x:f>
        <x:v>376.789292</x:v>
      </x:c>
      <x:c r="L25" s="15" t="n">
        <x:f>SUM('Run Data'!$H$71:$H$73)</x:f>
        <x:v>3</x:v>
      </x:c>
      <x:c r="M25" s="16" t="n">
        <x:f>AVERAGE('Run Data'!$K$71:$K$73)</x:f>
        <x:v>92.69984066666666</x:v>
      </x:c>
      <x:c r="N25" s="15" t="n">
        <x:f>IF(G25+I25&gt;0,1,0)</x:f>
        <x:v>0</x:v>
      </x:c>
      <x:c r="O25" s="16" t="n">
        <x:f>AVERAGE('Run Data'!$AC$71:$AC$73)</x:f>
        <x:v>4</x:v>
      </x:c>
      <x:c r="P25" s="16" t="n">
        <x:f>AVERAGE('Run Data'!$AB$71:$AB$73)</x:f>
        <x:v>2.561272</x:v>
      </x:c>
      <x:c r="Q25" s="17" t="n">
        <x:f>AVERAGE('Run Data'!$R$71:$R$73)</x:f>
        <x:v>0.9866666666666667</x:v>
      </x:c>
    </x:row>
    <x:row r="26">
      <x:c r="A26" t="str">
        <x:v>Full_ALNS_EVRPTW</x:v>
      </x:c>
      <x:c r="B26" t="str">
        <x:v>r105C5</x:v>
      </x:c>
      <x:c r="C26" t="str">
        <x:v>R</x:v>
      </x:c>
      <x:c r="D26" s="15" t="n">
        <x:v>5</x:v>
      </x:c>
      <x:c r="E26" s="15" t="n">
        <x:f>COUNT('Run Data'!$E$74:$E$76)</x:f>
        <x:v>3</x:v>
      </x:c>
      <x:c r="F26" s="16" t="n">
        <x:f>AVERAGE('Run Data'!$I$74:$I$76)</x:f>
        <x:v>2</x:v>
      </x:c>
      <x:c r="G26" s="16" t="n">
        <x:f>STDEV.S('Run Data'!$I$74:$I$76)</x:f>
        <x:v>0</x:v>
      </x:c>
      <x:c r="H26" s="16" t="n">
        <x:f>AVERAGE('Run Data'!$J$74:$J$76)</x:f>
        <x:v>156.082069</x:v>
      </x:c>
      <x:c r="I26" s="16" t="n">
        <x:f>STDEV.S('Run Data'!$J$74:$J$76)</x:f>
        <x:v>0</x:v>
      </x:c>
      <x:c r="J26" s="15" t="n">
        <x:f>MIN('Run Data'!$I$74:$I$76)</x:f>
        <x:v>2</x:v>
      </x:c>
      <x:c r="K26" s="16" t="n">
        <x:f>MINIFS('Run Data'!$J$74:$J$76,'Run Data'!$I$74:$I$76,J26)</x:f>
        <x:v>156.082069</x:v>
      </x:c>
      <x:c r="L26" s="15" t="n">
        <x:f>SUM('Run Data'!$H$74:$H$76)</x:f>
        <x:v>3</x:v>
      </x:c>
      <x:c r="M26" s="16" t="n">
        <x:f>AVERAGE('Run Data'!$K$74:$K$76)</x:f>
        <x:v>0.8892766666666666</x:v>
      </x:c>
      <x:c r="N26" s="15" t="n">
        <x:f>IF(G26+I26&gt;0,1,0)</x:f>
        <x:v>0</x:v>
      </x:c>
      <x:c r="O26" s="16" t="n">
        <x:f>AVERAGE('Run Data'!$AC$74:$AC$76)</x:f>
        <x:v>1</x:v>
      </x:c>
      <x:c r="P26" s="16" t="n">
        <x:f>AVERAGE('Run Data'!$AB$74:$AB$76)</x:f>
        <x:v>2.82845</x:v>
      </x:c>
      <x:c r="Q26" s="17" t="n">
        <x:f>AVERAGE('Run Data'!$R$74:$R$76)</x:f>
        <x:v>1</x:v>
      </x:c>
    </x:row>
    <x:row r="27">
      <x:c r="A27" t="str">
        <x:v>Full_ALNS_EVRPTW</x:v>
      </x:c>
      <x:c r="B27" t="str">
        <x:v>r103C10</x:v>
      </x:c>
      <x:c r="C27" t="str">
        <x:v>R</x:v>
      </x:c>
      <x:c r="D27" s="15" t="n">
        <x:v>10</x:v>
      </x:c>
      <x:c r="E27" s="15" t="n">
        <x:f>COUNT('Run Data'!$E$77:$E$79)</x:f>
        <x:v>3</x:v>
      </x:c>
      <x:c r="F27" s="16" t="n">
        <x:f>AVERAGE('Run Data'!$I$77:$I$79)</x:f>
        <x:v>2</x:v>
      </x:c>
      <x:c r="G27" s="16" t="n">
        <x:f>STDEV.S('Run Data'!$I$77:$I$79)</x:f>
        <x:v>0</x:v>
      </x:c>
      <x:c r="H27" s="16" t="n">
        <x:f>AVERAGE('Run Data'!$J$77:$J$79)</x:f>
        <x:v>207.051154</x:v>
      </x:c>
      <x:c r="I27" s="16" t="n">
        <x:f>STDEV.S('Run Data'!$J$77:$J$79)</x:f>
        <x:v>0</x:v>
      </x:c>
      <x:c r="J27" s="15" t="n">
        <x:f>MIN('Run Data'!$I$77:$I$79)</x:f>
        <x:v>2</x:v>
      </x:c>
      <x:c r="K27" s="16" t="n">
        <x:f>MINIFS('Run Data'!$J$77:$J$79,'Run Data'!$I$77:$I$79,J27)</x:f>
        <x:v>207.051154</x:v>
      </x:c>
      <x:c r="L27" s="15" t="n">
        <x:f>SUM('Run Data'!$H$77:$H$79)</x:f>
        <x:v>3</x:v>
      </x:c>
      <x:c r="M27" s="16" t="n">
        <x:f>AVERAGE('Run Data'!$K$77:$K$79)</x:f>
        <x:v>12.839228666666665</x:v>
      </x:c>
      <x:c r="N27" s="15" t="n">
        <x:f>IF(G27+I27&gt;0,1,0)</x:f>
        <x:v>0</x:v>
      </x:c>
      <x:c r="O27" s="16" t="n">
        <x:f>AVERAGE('Run Data'!$AC$77:$AC$79)</x:f>
        <x:v>3</x:v>
      </x:c>
      <x:c r="P27" s="16" t="n">
        <x:f>AVERAGE('Run Data'!$AB$77:$AB$79)</x:f>
        <x:v>0.425419</x:v>
      </x:c>
      <x:c r="Q27" s="17" t="n">
        <x:f>AVERAGE('Run Data'!$R$77:$R$79)</x:f>
        <x:v>0.9066666666666667</x:v>
      </x:c>
    </x:row>
    <x:row r="28">
      <x:c r="A28" t="str">
        <x:v>Full_ALNS_EVRPTW</x:v>
      </x:c>
      <x:c r="B28" t="str">
        <x:v>r105C15</x:v>
      </x:c>
      <x:c r="C28" t="str">
        <x:v>R</x:v>
      </x:c>
      <x:c r="D28" s="15" t="n">
        <x:v>15</x:v>
      </x:c>
      <x:c r="E28" s="15" t="n">
        <x:f>COUNT('Run Data'!$E$80:$E$82)</x:f>
        <x:v>3</x:v>
      </x:c>
      <x:c r="F28" s="16" t="n">
        <x:f>AVERAGE('Run Data'!$I$80:$I$82)</x:f>
        <x:v>4</x:v>
      </x:c>
      <x:c r="G28" s="16" t="n">
        <x:f>STDEV.S('Run Data'!$I$80:$I$82)</x:f>
        <x:v>0</x:v>
      </x:c>
      <x:c r="H28" s="16" t="n">
        <x:f>AVERAGE('Run Data'!$J$80:$J$82)</x:f>
        <x:v>336.153602</x:v>
      </x:c>
      <x:c r="I28" s="16" t="n">
        <x:f>STDEV.S('Run Data'!$J$80:$J$82)</x:f>
        <x:v>0</x:v>
      </x:c>
      <x:c r="J28" s="15" t="n">
        <x:f>MIN('Run Data'!$I$80:$I$82)</x:f>
        <x:v>4</x:v>
      </x:c>
      <x:c r="K28" s="16" t="n">
        <x:f>MINIFS('Run Data'!$J$80:$J$82,'Run Data'!$I$80:$I$82,J28)</x:f>
        <x:v>336.153602</x:v>
      </x:c>
      <x:c r="L28" s="15" t="n">
        <x:f>SUM('Run Data'!$H$80:$H$82)</x:f>
        <x:v>3</x:v>
      </x:c>
      <x:c r="M28" s="16" t="n">
        <x:f>AVERAGE('Run Data'!$K$80:$K$82)</x:f>
        <x:v>57.003697666666675</x:v>
      </x:c>
      <x:c r="N28" s="15" t="n">
        <x:f>IF(G28+I28&gt;0,1,0)</x:f>
        <x:v>0</x:v>
      </x:c>
      <x:c r="O28" s="16" t="n">
        <x:f>AVERAGE('Run Data'!$AC$80:$AC$82)</x:f>
        <x:v>4</x:v>
      </x:c>
      <x:c r="P28" s="16" t="n">
        <x:f>AVERAGE('Run Data'!$AB$80:$AB$82)</x:f>
        <x:v>1.851332</x:v>
      </x:c>
      <x:c r="Q28" s="17" t="n">
        <x:f>AVERAGE('Run Data'!$R$80:$R$82)</x:f>
        <x:v>0.988</x:v>
      </x:c>
    </x:row>
    <x:row r="29">
      <x:c r="A29" t="str">
        <x:v>Full_ALNS_EVRPTW</x:v>
      </x:c>
      <x:c r="B29" t="str">
        <x:v>r202C5</x:v>
      </x:c>
      <x:c r="C29" t="str">
        <x:v>R</x:v>
      </x:c>
      <x:c r="D29" s="15" t="n">
        <x:v>5</x:v>
      </x:c>
      <x:c r="E29" s="15" t="n">
        <x:f>COUNT('Run Data'!$E$83:$E$85)</x:f>
        <x:v>3</x:v>
      </x:c>
      <x:c r="F29" s="16" t="n">
        <x:f>AVERAGE('Run Data'!$I$83:$I$85)</x:f>
        <x:v>1</x:v>
      </x:c>
      <x:c r="G29" s="16" t="n">
        <x:f>STDEV.S('Run Data'!$I$83:$I$85)</x:f>
        <x:v>0</x:v>
      </x:c>
      <x:c r="H29" s="16" t="n">
        <x:f>AVERAGE('Run Data'!$J$83:$J$85)</x:f>
        <x:v>128.777139</x:v>
      </x:c>
      <x:c r="I29" s="16" t="n">
        <x:f>STDEV.S('Run Data'!$J$83:$J$85)</x:f>
        <x:v>0</x:v>
      </x:c>
      <x:c r="J29" s="15" t="n">
        <x:f>MIN('Run Data'!$I$83:$I$85)</x:f>
        <x:v>1</x:v>
      </x:c>
      <x:c r="K29" s="16" t="n">
        <x:f>MINIFS('Run Data'!$J$83:$J$85,'Run Data'!$I$83:$I$85,J29)</x:f>
        <x:v>128.777139</x:v>
      </x:c>
      <x:c r="L29" s="15" t="n">
        <x:f>SUM('Run Data'!$H$83:$H$85)</x:f>
        <x:v>3</x:v>
      </x:c>
      <x:c r="M29" s="16" t="n">
        <x:f>AVERAGE('Run Data'!$K$83:$K$85)</x:f>
        <x:v>2.8266310000000003</x:v>
      </x:c>
      <x:c r="N29" s="15" t="n">
        <x:f>IF(G29+I29&gt;0,1,0)</x:f>
        <x:v>0</x:v>
      </x:c>
      <x:c r="O29" s="16" t="n">
        <x:f>AVERAGE('Run Data'!$AC$83:$AC$85)</x:f>
        <x:v>2</x:v>
      </x:c>
      <x:c r="P29" s="16" t="n">
        <x:f>AVERAGE('Run Data'!$AB$83:$AB$85)</x:f>
        <x:v>0.273651</x:v>
      </x:c>
      <x:c r="Q29" s="17" t="n">
        <x:f>AVERAGE('Run Data'!$R$83:$R$85)</x:f>
        <x:v>1</x:v>
      </x:c>
    </x:row>
    <x:row r="30">
      <x:c r="A30" t="str">
        <x:v>Full_ALNS_EVRPTW</x:v>
      </x:c>
      <x:c r="B30" t="str">
        <x:v>r201C10</x:v>
      </x:c>
      <x:c r="C30" t="str">
        <x:v>R</x:v>
      </x:c>
      <x:c r="D30" s="15" t="n">
        <x:v>10</x:v>
      </x:c>
      <x:c r="E30" s="15" t="n">
        <x:f>COUNT('Run Data'!$E$86:$E$88)</x:f>
        <x:v>3</x:v>
      </x:c>
      <x:c r="F30" s="16" t="n">
        <x:f>AVERAGE('Run Data'!$I$86:$I$88)</x:f>
        <x:v>1.3333333333333333</x:v>
      </x:c>
      <x:c r="G30" s="16" t="n">
        <x:f>STDEV.S('Run Data'!$I$86:$I$88)</x:f>
        <x:v>0.5773502691896257</x:v>
      </x:c>
      <x:c r="H30" s="16" t="n">
        <x:f>AVERAGE('Run Data'!$J$86:$J$88)</x:f>
        <x:v>237.12234433333333</x:v>
      </x:c>
      <x:c r="I30" s="16" t="n">
        <x:f>STDEV.S('Run Data'!$J$86:$J$88)</x:f>
        <x:v>7.592508223507784</x:v>
      </x:c>
      <x:c r="J30" s="15" t="n">
        <x:f>MIN('Run Data'!$I$86:$I$88)</x:f>
        <x:v>1</x:v>
      </x:c>
      <x:c r="K30" s="16" t="n">
        <x:f>MINIFS('Run Data'!$J$86:$J$88,'Run Data'!$I$86:$I$88,J30)</x:f>
        <x:v>241.505881</x:v>
      </x:c>
      <x:c r="L30" s="15" t="n">
        <x:f>SUM('Run Data'!$H$86:$H$88)</x:f>
        <x:v>3</x:v>
      </x:c>
      <x:c r="M30" s="16" t="n">
        <x:f>AVERAGE('Run Data'!$K$86:$K$88)</x:f>
        <x:v>23.877675</x:v>
      </x:c>
      <x:c r="N30" s="15" t="n">
        <x:f>IF(G30+I30&gt;0,1,0)</x:f>
        <x:v>1</x:v>
      </x:c>
      <x:c r="O30" s="16" t="n">
        <x:f>AVERAGE('Run Data'!$AC$86:$AC$88)</x:f>
        <x:v>4.333333333333333</x:v>
      </x:c>
      <x:c r="P30" s="16" t="n">
        <x:f>AVERAGE('Run Data'!$AB$86:$AB$88)</x:f>
        <x:v>1.5165723333333334</x:v>
      </x:c>
      <x:c r="Q30" s="17" t="n">
        <x:f>AVERAGE('Run Data'!$R$86:$R$88)</x:f>
        <x:v>0.9716666666666667</x:v>
      </x:c>
    </x:row>
    <x:row r="31">
      <x:c r="A31" t="str">
        <x:v>Full_ALNS_EVRPTW</x:v>
      </x:c>
      <x:c r="B31" t="str">
        <x:v>r202C15</x:v>
      </x:c>
      <x:c r="C31" t="str">
        <x:v>R</x:v>
      </x:c>
      <x:c r="D31" s="15" t="n">
        <x:v>15</x:v>
      </x:c>
      <x:c r="E31" s="15" t="n">
        <x:f>COUNT('Run Data'!$E$89:$E$91)</x:f>
        <x:v>3</x:v>
      </x:c>
      <x:c r="F31" s="16" t="n">
        <x:f>AVERAGE('Run Data'!$I$89:$I$91)</x:f>
        <x:v>2</x:v>
      </x:c>
      <x:c r="G31" s="16" t="n">
        <x:f>STDEV.S('Run Data'!$I$89:$I$91)</x:f>
        <x:v>0</x:v>
      </x:c>
      <x:c r="H31" s="16" t="n">
        <x:f>AVERAGE('Run Data'!$J$89:$J$91)</x:f>
        <x:v>374.27131833333334</x:v>
      </x:c>
      <x:c r="I31" s="16" t="n">
        <x:f>STDEV.S('Run Data'!$J$89:$J$91)</x:f>
        <x:v>28.174474320701716</x:v>
      </x:c>
      <x:c r="J31" s="15" t="n">
        <x:f>MIN('Run Data'!$I$89:$I$91)</x:f>
        <x:v>2</x:v>
      </x:c>
      <x:c r="K31" s="16" t="n">
        <x:f>MINIFS('Run Data'!$J$89:$J$91,'Run Data'!$I$89:$I$91,J31)</x:f>
        <x:v>358.004778</x:v>
      </x:c>
      <x:c r="L31" s="15" t="n">
        <x:f>SUM('Run Data'!$H$89:$H$91)</x:f>
        <x:v>3</x:v>
      </x:c>
      <x:c r="M31" s="16" t="n">
        <x:f>AVERAGE('Run Data'!$K$89:$K$91)</x:f>
        <x:v>216.194705</x:v>
      </x:c>
      <x:c r="N31" s="15" t="n">
        <x:f>IF(G31+I31&gt;0,1,0)</x:f>
        <x:v>1</x:v>
      </x:c>
      <x:c r="O31" s="16" t="n">
        <x:f>AVERAGE('Run Data'!$AC$89:$AC$91)</x:f>
        <x:v>6.333333333333333</x:v>
      </x:c>
      <x:c r="P31" s="16" t="n">
        <x:f>AVERAGE('Run Data'!$AB$89:$AB$91)</x:f>
        <x:v>2.4001973333333333</x:v>
      </x:c>
      <x:c r="Q31" s="17" t="n">
        <x:f>AVERAGE('Run Data'!$R$89:$R$91)</x:f>
        <x:v>0.9163333333333333</x:v>
      </x:c>
    </x:row>
    <x:row r="32">
      <x:c r="A32" t="str">
        <x:v>Full_ALNS_EVRPTW</x:v>
      </x:c>
      <x:c r="B32" t="str">
        <x:v>rc105C5</x:v>
      </x:c>
      <x:c r="C32" t="str">
        <x:v>RC</x:v>
      </x:c>
      <x:c r="D32" s="15" t="n">
        <x:v>5</x:v>
      </x:c>
      <x:c r="E32" s="15" t="n">
        <x:f>COUNT('Run Data'!$E$92:$E$94)</x:f>
        <x:v>3</x:v>
      </x:c>
      <x:c r="F32" s="16" t="n">
        <x:f>AVERAGE('Run Data'!$I$92:$I$94)</x:f>
        <x:v>3</x:v>
      </x:c>
      <x:c r="G32" s="16" t="n">
        <x:f>STDEV.S('Run Data'!$I$92:$I$94)</x:f>
        <x:v>0</x:v>
      </x:c>
      <x:c r="H32" s="16" t="n">
        <x:f>AVERAGE('Run Data'!$J$92:$J$94)</x:f>
        <x:v>238.052232</x:v>
      </x:c>
      <x:c r="I32" s="16" t="n">
        <x:f>STDEV.S('Run Data'!$J$92:$J$94)</x:f>
        <x:v>0</x:v>
      </x:c>
      <x:c r="J32" s="15" t="n">
        <x:f>MIN('Run Data'!$I$92:$I$94)</x:f>
        <x:v>3</x:v>
      </x:c>
      <x:c r="K32" s="16" t="n">
        <x:f>MINIFS('Run Data'!$J$92:$J$94,'Run Data'!$I$92:$I$94,J32)</x:f>
        <x:v>238.052232</x:v>
      </x:c>
      <x:c r="L32" s="15" t="n">
        <x:f>SUM('Run Data'!$H$92:$H$94)</x:f>
        <x:v>3</x:v>
      </x:c>
      <x:c r="M32" s="16" t="n">
        <x:f>AVERAGE('Run Data'!$K$92:$K$94)</x:f>
        <x:v>1.1900676666666667</x:v>
      </x:c>
      <x:c r="N32" s="15" t="n">
        <x:f>IF(G32+I32&gt;0,1,0)</x:f>
        <x:v>0</x:v>
      </x:c>
      <x:c r="O32" s="16" t="n">
        <x:f>AVERAGE('Run Data'!$AC$92:$AC$94)</x:f>
        <x:v>1</x:v>
      </x:c>
      <x:c r="P32" s="16" t="n">
        <x:f>AVERAGE('Run Data'!$AB$92:$AB$94)</x:f>
        <x:v>7.75</x:v>
      </x:c>
      <x:c r="Q32" s="17" t="n">
        <x:f>AVERAGE('Run Data'!$R$92:$R$94)</x:f>
        <x:v>1</x:v>
      </x:c>
    </x:row>
    <x:row r="33">
      <x:c r="A33" t="str">
        <x:v>Full_ALNS_EVRPTW</x:v>
      </x:c>
      <x:c r="B33" t="str">
        <x:v>rc102C10</x:v>
      </x:c>
      <x:c r="C33" t="str">
        <x:v>RC</x:v>
      </x:c>
      <x:c r="D33" s="15" t="n">
        <x:v>10</x:v>
      </x:c>
      <x:c r="E33" s="15" t="n">
        <x:f>COUNT('Run Data'!$E$95:$E$97)</x:f>
        <x:v>3</x:v>
      </x:c>
      <x:c r="F33" s="16" t="n">
        <x:f>AVERAGE('Run Data'!$I$95:$I$97)</x:f>
        <x:v>4</x:v>
      </x:c>
      <x:c r="G33" s="16" t="n">
        <x:f>STDEV.S('Run Data'!$I$95:$I$97)</x:f>
        <x:v>0</x:v>
      </x:c>
      <x:c r="H33" s="16" t="n">
        <x:f>AVERAGE('Run Data'!$J$95:$J$97)</x:f>
        <x:v>423.510182</x:v>
      </x:c>
      <x:c r="I33" s="16" t="n">
        <x:f>STDEV.S('Run Data'!$J$95:$J$97)</x:f>
        <x:v>0</x:v>
      </x:c>
      <x:c r="J33" s="15" t="n">
        <x:f>MIN('Run Data'!$I$95:$I$97)</x:f>
        <x:v>4</x:v>
      </x:c>
      <x:c r="K33" s="16" t="n">
        <x:f>MINIFS('Run Data'!$J$95:$J$97,'Run Data'!$I$95:$I$97,J33)</x:f>
        <x:v>423.510182</x:v>
      </x:c>
      <x:c r="L33" s="15" t="n">
        <x:f>SUM('Run Data'!$H$95:$H$97)</x:f>
        <x:v>3</x:v>
      </x:c>
      <x:c r="M33" s="16" t="n">
        <x:f>AVERAGE('Run Data'!$K$95:$K$97)</x:f>
        <x:v>9.111615666666667</x:v>
      </x:c>
      <x:c r="N33" s="15" t="n">
        <x:f>IF(G33+I33&gt;0,1,0)</x:f>
        <x:v>0</x:v>
      </x:c>
      <x:c r="O33" s="16" t="n">
        <x:f>AVERAGE('Run Data'!$AC$95:$AC$97)</x:f>
        <x:v>3</x:v>
      </x:c>
      <x:c r="P33" s="16" t="n">
        <x:f>AVERAGE('Run Data'!$AB$95:$AB$97)</x:f>
        <x:v>0.51776</x:v>
      </x:c>
      <x:c r="Q33" s="17" t="n">
        <x:f>AVERAGE('Run Data'!$R$95:$R$97)</x:f>
        <x:v>0.9693333333333333</x:v>
      </x:c>
    </x:row>
    <x:row r="34">
      <x:c r="A34" t="str">
        <x:v>Full_ALNS_EVRPTW</x:v>
      </x:c>
      <x:c r="B34" t="str">
        <x:v>rc103C15</x:v>
      </x:c>
      <x:c r="C34" t="str">
        <x:v>RC</x:v>
      </x:c>
      <x:c r="D34" s="15" t="n">
        <x:v>15</x:v>
      </x:c>
      <x:c r="E34" s="15" t="n">
        <x:f>COUNT('Run Data'!$E$98:$E$100)</x:f>
        <x:v>3</x:v>
      </x:c>
      <x:c r="F34" s="16" t="n">
        <x:f>AVERAGE('Run Data'!$I$98:$I$100)</x:f>
        <x:v>4</x:v>
      </x:c>
      <x:c r="G34" s="16" t="n">
        <x:f>STDEV.S('Run Data'!$I$98:$I$100)</x:f>
        <x:v>0</x:v>
      </x:c>
      <x:c r="H34" s="16" t="n">
        <x:f>AVERAGE('Run Data'!$J$98:$J$100)</x:f>
        <x:v>397.66985700000004</x:v>
      </x:c>
      <x:c r="I34" s="16" t="n">
        <x:f>STDEV.S('Run Data'!$J$98:$J$100)</x:f>
        <x:v>6.961868572213853e-14</x:v>
      </x:c>
      <x:c r="J34" s="15" t="n">
        <x:f>MIN('Run Data'!$I$98:$I$100)</x:f>
        <x:v>4</x:v>
      </x:c>
      <x:c r="K34" s="16" t="n">
        <x:f>MINIFS('Run Data'!$J$98:$J$100,'Run Data'!$I$98:$I$100,J34)</x:f>
        <x:v>397.669857</x:v>
      </x:c>
      <x:c r="L34" s="15" t="n">
        <x:f>SUM('Run Data'!$H$98:$H$100)</x:f>
        <x:v>3</x:v>
      </x:c>
      <x:c r="M34" s="16" t="n">
        <x:f>AVERAGE('Run Data'!$K$98:$K$100)</x:f>
        <x:v>52.136142</x:v>
      </x:c>
      <x:c r="N34" s="15" t="n">
        <x:f>IF(G34+I34&gt;0,1,0)</x:f>
        <x:v>0</x:v>
      </x:c>
      <x:c r="O34" s="16" t="n">
        <x:f>AVERAGE('Run Data'!$AC$98:$AC$100)</x:f>
        <x:v>4</x:v>
      </x:c>
      <x:c r="P34" s="16" t="n">
        <x:f>AVERAGE('Run Data'!$AB$98:$AB$100)</x:f>
        <x:v>9.161259</x:v>
      </x:c>
      <x:c r="Q34" s="17" t="n">
        <x:f>AVERAGE('Run Data'!$R$98:$R$100)</x:f>
        <x:v>0.8953333333333333</x:v>
      </x:c>
    </x:row>
    <x:row r="35">
      <x:c r="A35" t="str">
        <x:v>Full_ALNS_EVRPTW</x:v>
      </x:c>
      <x:c r="B35" t="str">
        <x:v>rc204C5</x:v>
      </x:c>
      <x:c r="C35" t="str">
        <x:v>RC</x:v>
      </x:c>
      <x:c r="D35" s="15" t="n">
        <x:v>5</x:v>
      </x:c>
      <x:c r="E35" s="15" t="n">
        <x:f>COUNT('Run Data'!$E$101:$E$103)</x:f>
        <x:v>3</x:v>
      </x:c>
      <x:c r="F35" s="16" t="n">
        <x:f>AVERAGE('Run Data'!$I$101:$I$103)</x:f>
        <x:v>1</x:v>
      </x:c>
      <x:c r="G35" s="16" t="n">
        <x:f>STDEV.S('Run Data'!$I$101:$I$103)</x:f>
        <x:v>0</x:v>
      </x:c>
      <x:c r="H35" s="16" t="n">
        <x:f>AVERAGE('Run Data'!$J$101:$J$103)</x:f>
        <x:v>179.162472</x:v>
      </x:c>
      <x:c r="I35" s="16" t="n">
        <x:f>STDEV.S('Run Data'!$J$101:$J$103)</x:f>
        <x:v>0</x:v>
      </x:c>
      <x:c r="J35" s="15" t="n">
        <x:f>MIN('Run Data'!$I$101:$I$103)</x:f>
        <x:v>1</x:v>
      </x:c>
      <x:c r="K35" s="16" t="n">
        <x:f>MINIFS('Run Data'!$J$101:$J$103,'Run Data'!$I$101:$I$103,J35)</x:f>
        <x:v>179.162472</x:v>
      </x:c>
      <x:c r="L35" s="15" t="n">
        <x:f>SUM('Run Data'!$H$101:$H$103)</x:f>
        <x:v>3</x:v>
      </x:c>
      <x:c r="M35" s="16" t="n">
        <x:f>AVERAGE('Run Data'!$K$101:$K$103)</x:f>
        <x:v>3.5478546666666664</x:v>
      </x:c>
      <x:c r="N35" s="15" t="n">
        <x:f>IF(G35+I35&gt;0,1,0)</x:f>
        <x:v>0</x:v>
      </x:c>
      <x:c r="O35" s="16" t="n">
        <x:f>AVERAGE('Run Data'!$AC$101:$AC$103)</x:f>
        <x:v>2</x:v>
      </x:c>
      <x:c r="P35" s="16" t="n">
        <x:f>AVERAGE('Run Data'!$AB$101:$AB$103)</x:f>
        <x:v>7.467526</x:v>
      </x:c>
      <x:c r="Q35" s="17" t="n">
        <x:f>AVERAGE('Run Data'!$R$101:$R$103)</x:f>
        <x:v>0.999</x:v>
      </x:c>
    </x:row>
    <x:row r="36">
      <x:c r="A36" t="str">
        <x:v>Full_ALNS_EVRPTW</x:v>
      </x:c>
      <x:c r="B36" t="str">
        <x:v>rc201C10</x:v>
      </x:c>
      <x:c r="C36" t="str">
        <x:v>RC</x:v>
      </x:c>
      <x:c r="D36" s="15" t="n">
        <x:v>10</x:v>
      </x:c>
      <x:c r="E36" s="15" t="n">
        <x:f>COUNT('Run Data'!$E$104:$E$106)</x:f>
        <x:v>3</x:v>
      </x:c>
      <x:c r="F36" s="16" t="n">
        <x:f>AVERAGE('Run Data'!$I$104:$I$106)</x:f>
        <x:v>1</x:v>
      </x:c>
      <x:c r="G36" s="16" t="n">
        <x:f>STDEV.S('Run Data'!$I$104:$I$106)</x:f>
        <x:v>0</x:v>
      </x:c>
      <x:c r="H36" s="16" t="n">
        <x:f>AVERAGE('Run Data'!$J$104:$J$106)</x:f>
        <x:v>412.8613950000001</x:v>
      </x:c>
      <x:c r="I36" s="16" t="n">
        <x:f>STDEV.S('Run Data'!$J$104:$J$106)</x:f>
        <x:v>6.961868572213853e-14</x:v>
      </x:c>
      <x:c r="J36" s="15" t="n">
        <x:f>MIN('Run Data'!$I$104:$I$106)</x:f>
        <x:v>1</x:v>
      </x:c>
      <x:c r="K36" s="16" t="n">
        <x:f>MINIFS('Run Data'!$J$104:$J$106,'Run Data'!$I$104:$I$106,J36)</x:f>
        <x:v>412.861395</x:v>
      </x:c>
      <x:c r="L36" s="15" t="n">
        <x:f>SUM('Run Data'!$H$104:$H$106)</x:f>
        <x:v>3</x:v>
      </x:c>
      <x:c r="M36" s="16" t="n">
        <x:f>AVERAGE('Run Data'!$K$104:$K$106)</x:f>
        <x:v>24.735582000000004</x:v>
      </x:c>
      <x:c r="N36" s="15" t="n">
        <x:f>IF(G36+I36&gt;0,1,0)</x:f>
        <x:v>0</x:v>
      </x:c>
      <x:c r="O36" s="16" t="n">
        <x:f>AVERAGE('Run Data'!$AC$104:$AC$106)</x:f>
        <x:v>6</x:v>
      </x:c>
      <x:c r="P36" s="16" t="n">
        <x:f>AVERAGE('Run Data'!$AB$104:$AB$106)</x:f>
        <x:v>0.919251</x:v>
      </x:c>
      <x:c r="Q36" s="17" t="n">
        <x:f>AVERAGE('Run Data'!$R$104:$R$106)</x:f>
        <x:v>0.9923333333333334</x:v>
      </x:c>
    </x:row>
    <x:row r="37">
      <x:c r="A37" t="str">
        <x:v>Full_ALNS_EVRPTW</x:v>
      </x:c>
      <x:c r="B37" t="str">
        <x:v>rc202C15</x:v>
      </x:c>
      <x:c r="C37" t="str">
        <x:v>RC</x:v>
      </x:c>
      <x:c r="D37" s="15" t="n">
        <x:v>15</x:v>
      </x:c>
      <x:c r="E37" s="15" t="n">
        <x:f>COUNT('Run Data'!$E$107:$E$109)</x:f>
        <x:v>3</x:v>
      </x:c>
      <x:c r="F37" s="16" t="n">
        <x:f>AVERAGE('Run Data'!$I$107:$I$109)</x:f>
        <x:v>2</x:v>
      </x:c>
      <x:c r="G37" s="16" t="n">
        <x:f>STDEV.S('Run Data'!$I$107:$I$109)</x:f>
        <x:v>0</x:v>
      </x:c>
      <x:c r="H37" s="16" t="n">
        <x:f>AVERAGE('Run Data'!$J$107:$J$109)</x:f>
        <x:v>394.387139</x:v>
      </x:c>
      <x:c r="I37" s="16" t="n">
        <x:f>STDEV.S('Run Data'!$J$107:$J$109)</x:f>
        <x:v>0</x:v>
      </x:c>
      <x:c r="J37" s="15" t="n">
        <x:f>MIN('Run Data'!$I$107:$I$109)</x:f>
        <x:v>2</x:v>
      </x:c>
      <x:c r="K37" s="16" t="n">
        <x:f>MINIFS('Run Data'!$J$107:$J$109,'Run Data'!$I$107:$I$109,J37)</x:f>
        <x:v>394.387139</x:v>
      </x:c>
      <x:c r="L37" s="15" t="n">
        <x:f>SUM('Run Data'!$H$107:$H$109)</x:f>
        <x:v>3</x:v>
      </x:c>
      <x:c r="M37" s="16" t="n">
        <x:f>AVERAGE('Run Data'!$K$107:$K$109)</x:f>
        <x:v>141.59670233333335</x:v>
      </x:c>
      <x:c r="N37" s="15" t="n">
        <x:f>IF(G37+I37&gt;0,1,0)</x:f>
        <x:v>0</x:v>
      </x:c>
      <x:c r="O37" s="16" t="n">
        <x:f>AVERAGE('Run Data'!$AC$107:$AC$109)</x:f>
        <x:v>6</x:v>
      </x:c>
      <x:c r="P37" s="16" t="n">
        <x:f>AVERAGE('Run Data'!$AB$107:$AB$109)</x:f>
        <x:v>5.2188</x:v>
      </x:c>
      <x:c r="Q37" s="17" t="n">
        <x:f>AVERAGE('Run Data'!$R$107:$R$109)</x:f>
        <x:v>0.8293333333333334</x:v>
      </x:c>
    </x:row>
    <x:row r="38">
      <x:c r="A38" t="str">
        <x:v>No_Adaptive</x:v>
      </x:c>
      <x:c r="B38" t="str">
        <x:v>c101C5</x:v>
      </x:c>
      <x:c r="C38" t="str">
        <x:v>C</x:v>
      </x:c>
      <x:c r="D38" s="15" t="n">
        <x:v>5</x:v>
      </x:c>
      <x:c r="E38" s="15" t="n">
        <x:f>COUNT('Run Data'!$E$110:$E$112)</x:f>
        <x:v>3</x:v>
      </x:c>
      <x:c r="F38" s="16" t="n">
        <x:f>AVERAGE('Run Data'!$I$110:$I$112)</x:f>
        <x:v>3</x:v>
      </x:c>
      <x:c r="G38" s="16" t="n">
        <x:f>STDEV.S('Run Data'!$I$110:$I$112)</x:f>
        <x:v>0</x:v>
      </x:c>
      <x:c r="H38" s="16" t="n">
        <x:f>AVERAGE('Run Data'!$J$110:$J$112)</x:f>
        <x:v>247.149706</x:v>
      </x:c>
      <x:c r="I38" s="16" t="n">
        <x:f>STDEV.S('Run Data'!$J$110:$J$112)</x:f>
        <x:v>0</x:v>
      </x:c>
      <x:c r="J38" s="15" t="n">
        <x:f>MIN('Run Data'!$I$110:$I$112)</x:f>
        <x:v>3</x:v>
      </x:c>
      <x:c r="K38" s="16" t="n">
        <x:f>MINIFS('Run Data'!$J$110:$J$112,'Run Data'!$I$110:$I$112,J38)</x:f>
        <x:v>247.149706</x:v>
      </x:c>
      <x:c r="L38" s="15" t="n">
        <x:f>SUM('Run Data'!$H$110:$H$112)</x:f>
        <x:v>3</x:v>
      </x:c>
      <x:c r="M38" s="16" t="n">
        <x:f>AVERAGE('Run Data'!$K$110:$K$112)</x:f>
        <x:v>1.2843673333333332</x:v>
      </x:c>
      <x:c r="N38" s="15" t="n">
        <x:f>IF(G38+I38&gt;0,1,0)</x:f>
        <x:v>0</x:v>
      </x:c>
      <x:c r="O38" s="16" t="n">
        <x:f>AVERAGE('Run Data'!$AC$110:$AC$112)</x:f>
        <x:v>2</x:v>
      </x:c>
      <x:c r="P38" s="16" t="n">
        <x:f>AVERAGE('Run Data'!$AB$110:$AB$112)</x:f>
        <x:v>2.113492</x:v>
      </x:c>
      <x:c r="Q38" s="17" t="n">
        <x:f>AVERAGE('Run Data'!$R$110:$R$112)</x:f>
        <x:v>0.999</x:v>
      </x:c>
    </x:row>
    <x:row r="39">
      <x:c r="A39" t="str">
        <x:v>No_Adaptive</x:v>
      </x:c>
      <x:c r="B39" t="str">
        <x:v>c101C10</x:v>
      </x:c>
      <x:c r="C39" t="str">
        <x:v>C</x:v>
      </x:c>
      <x:c r="D39" s="15" t="n">
        <x:v>10</x:v>
      </x:c>
      <x:c r="E39" s="15" t="n">
        <x:f>COUNT('Run Data'!$E$113:$E$115)</x:f>
        <x:v>3</x:v>
      </x:c>
      <x:c r="F39" s="16" t="n">
        <x:f>AVERAGE('Run Data'!$I$113:$I$115)</x:f>
        <x:v>3</x:v>
      </x:c>
      <x:c r="G39" s="16" t="n">
        <x:f>STDEV.S('Run Data'!$I$113:$I$115)</x:f>
        <x:v>0</x:v>
      </x:c>
      <x:c r="H39" s="16" t="n">
        <x:f>AVERAGE('Run Data'!$J$113:$J$115)</x:f>
        <x:v>408.477828</x:v>
      </x:c>
      <x:c r="I39" s="16" t="n">
        <x:f>STDEV.S('Run Data'!$J$113:$J$115)</x:f>
        <x:v>0</x:v>
      </x:c>
      <x:c r="J39" s="15" t="n">
        <x:f>MIN('Run Data'!$I$113:$I$115)</x:f>
        <x:v>3</x:v>
      </x:c>
      <x:c r="K39" s="16" t="n">
        <x:f>MINIFS('Run Data'!$J$113:$J$115,'Run Data'!$I$113:$I$115,J39)</x:f>
        <x:v>408.477828</x:v>
      </x:c>
      <x:c r="L39" s="15" t="n">
        <x:f>SUM('Run Data'!$H$113:$H$115)</x:f>
        <x:v>3</x:v>
      </x:c>
      <x:c r="M39" s="16" t="n">
        <x:f>AVERAGE('Run Data'!$K$113:$K$115)</x:f>
        <x:v>20.645433999999998</x:v>
      </x:c>
      <x:c r="N39" s="15" t="n">
        <x:f>IF(G39+I39&gt;0,1,0)</x:f>
        <x:v>0</x:v>
      </x:c>
      <x:c r="O39" s="16" t="n">
        <x:f>AVERAGE('Run Data'!$AC$113:$AC$115)</x:f>
        <x:v>5</x:v>
      </x:c>
      <x:c r="P39" s="16" t="n">
        <x:f>AVERAGE('Run Data'!$AB$113:$AB$115)</x:f>
        <x:v>8.21048</x:v>
      </x:c>
      <x:c r="Q39" s="17" t="n">
        <x:f>AVERAGE('Run Data'!$R$113:$R$115)</x:f>
        <x:v>0.9033333333333333</x:v>
      </x:c>
    </x:row>
    <x:row r="40">
      <x:c r="A40" t="str">
        <x:v>No_Adaptive</x:v>
      </x:c>
      <x:c r="B40" t="str">
        <x:v>c103C15</x:v>
      </x:c>
      <x:c r="C40" t="str">
        <x:v>C</x:v>
      </x:c>
      <x:c r="D40" s="15" t="n">
        <x:v>15</x:v>
      </x:c>
      <x:c r="E40" s="15" t="n">
        <x:f>COUNT('Run Data'!$E$116:$E$118)</x:f>
        <x:v>3</x:v>
      </x:c>
      <x:c r="F40" s="16" t="n">
        <x:f>AVERAGE('Run Data'!$I$116:$I$118)</x:f>
        <x:v>3</x:v>
      </x:c>
      <x:c r="G40" s="16" t="n">
        <x:f>STDEV.S('Run Data'!$I$116:$I$118)</x:f>
        <x:v>0</x:v>
      </x:c>
      <x:c r="H40" s="16" t="n">
        <x:f>AVERAGE('Run Data'!$J$116:$J$118)</x:f>
        <x:v>392.977769</x:v>
      </x:c>
      <x:c r="I40" s="16" t="n">
        <x:f>STDEV.S('Run Data'!$J$116:$J$118)</x:f>
        <x:v>0</x:v>
      </x:c>
      <x:c r="J40" s="15" t="n">
        <x:f>MIN('Run Data'!$I$116:$I$118)</x:f>
        <x:v>3</x:v>
      </x:c>
      <x:c r="K40" s="16" t="n">
        <x:f>MINIFS('Run Data'!$J$116:$J$118,'Run Data'!$I$116:$I$118,J40)</x:f>
        <x:v>392.977769</x:v>
      </x:c>
      <x:c r="L40" s="15" t="n">
        <x:f>SUM('Run Data'!$H$116:$H$118)</x:f>
        <x:v>3</x:v>
      </x:c>
      <x:c r="M40" s="16" t="n">
        <x:f>AVERAGE('Run Data'!$K$116:$K$118)</x:f>
        <x:v>73.79919033333334</x:v>
      </x:c>
      <x:c r="N40" s="15" t="n">
        <x:f>IF(G40+I40&gt;0,1,0)</x:f>
        <x:v>0</x:v>
      </x:c>
      <x:c r="O40" s="16" t="n">
        <x:f>AVERAGE('Run Data'!$AC$116:$AC$118)</x:f>
        <x:v>4</x:v>
      </x:c>
      <x:c r="P40" s="16" t="n">
        <x:f>AVERAGE('Run Data'!$AB$116:$AB$118)</x:f>
        <x:v>1.327451</x:v>
      </x:c>
      <x:c r="Q40" s="17" t="n">
        <x:f>AVERAGE('Run Data'!$R$116:$R$118)</x:f>
        <x:v>0.898</x:v>
      </x:c>
    </x:row>
    <x:row r="41">
      <x:c r="A41" t="str">
        <x:v>No_Adaptive</x:v>
      </x:c>
      <x:c r="B41" t="str">
        <x:v>c206C5</x:v>
      </x:c>
      <x:c r="C41" t="str">
        <x:v>C</x:v>
      </x:c>
      <x:c r="D41" s="15" t="n">
        <x:v>5</x:v>
      </x:c>
      <x:c r="E41" s="15" t="n">
        <x:f>COUNT('Run Data'!$E$119:$E$121)</x:f>
        <x:v>3</x:v>
      </x:c>
      <x:c r="F41" s="16" t="n">
        <x:f>AVERAGE('Run Data'!$I$119:$I$121)</x:f>
        <x:v>1</x:v>
      </x:c>
      <x:c r="G41" s="16" t="n">
        <x:f>STDEV.S('Run Data'!$I$119:$I$121)</x:f>
        <x:v>0</x:v>
      </x:c>
      <x:c r="H41" s="16" t="n">
        <x:f>AVERAGE('Run Data'!$J$119:$J$121)</x:f>
        <x:v>242.555652</x:v>
      </x:c>
      <x:c r="I41" s="16" t="n">
        <x:f>STDEV.S('Run Data'!$J$119:$J$121)</x:f>
        <x:v>0</x:v>
      </x:c>
      <x:c r="J41" s="15" t="n">
        <x:f>MIN('Run Data'!$I$119:$I$121)</x:f>
        <x:v>1</x:v>
      </x:c>
      <x:c r="K41" s="16" t="n">
        <x:f>MINIFS('Run Data'!$J$119:$J$121,'Run Data'!$I$119:$I$121,J41)</x:f>
        <x:v>242.555652</x:v>
      </x:c>
      <x:c r="L41" s="15" t="n">
        <x:f>SUM('Run Data'!$H$119:$H$121)</x:f>
        <x:v>3</x:v>
      </x:c>
      <x:c r="M41" s="16" t="n">
        <x:f>AVERAGE('Run Data'!$K$119:$K$121)</x:f>
        <x:v>2.1727176666666668</x:v>
      </x:c>
      <x:c r="N41" s="15" t="n">
        <x:f>IF(G41+I41&gt;0,1,0)</x:f>
        <x:v>0</x:v>
      </x:c>
      <x:c r="O41" s="16" t="n">
        <x:f>AVERAGE('Run Data'!$AC$119:$AC$121)</x:f>
        <x:v>3</x:v>
      </x:c>
      <x:c r="P41" s="16" t="n">
        <x:f>AVERAGE('Run Data'!$AB$119:$AB$121)</x:f>
        <x:v>1.592269</x:v>
      </x:c>
      <x:c r="Q41" s="17" t="n">
        <x:f>AVERAGE('Run Data'!$R$119:$R$121)</x:f>
        <x:v>1</x:v>
      </x:c>
    </x:row>
    <x:row r="42">
      <x:c r="A42" t="str">
        <x:v>No_Adaptive</x:v>
      </x:c>
      <x:c r="B42" t="str">
        <x:v>c202C10</x:v>
      </x:c>
      <x:c r="C42" t="str">
        <x:v>C</x:v>
      </x:c>
      <x:c r="D42" s="15" t="n">
        <x:v>10</x:v>
      </x:c>
      <x:c r="E42" s="15" t="n">
        <x:f>COUNT('Run Data'!$E$122:$E$124)</x:f>
        <x:v>3</x:v>
      </x:c>
      <x:c r="F42" s="16" t="n">
        <x:f>AVERAGE('Run Data'!$I$122:$I$124)</x:f>
        <x:v>1</x:v>
      </x:c>
      <x:c r="G42" s="16" t="n">
        <x:f>STDEV.S('Run Data'!$I$122:$I$124)</x:f>
        <x:v>0</x:v>
      </x:c>
      <x:c r="H42" s="16" t="n">
        <x:f>AVERAGE('Run Data'!$J$122:$J$124)</x:f>
        <x:v>304.058332</x:v>
      </x:c>
      <x:c r="I42" s="16" t="n">
        <x:f>STDEV.S('Run Data'!$J$122:$J$124)</x:f>
        <x:v>0</x:v>
      </x:c>
      <x:c r="J42" s="15" t="n">
        <x:f>MIN('Run Data'!$I$122:$I$124)</x:f>
        <x:v>1</x:v>
      </x:c>
      <x:c r="K42" s="16" t="n">
        <x:f>MINIFS('Run Data'!$J$122:$J$124,'Run Data'!$I$122:$I$124,J42)</x:f>
        <x:v>304.058332</x:v>
      </x:c>
      <x:c r="L42" s="15" t="n">
        <x:f>SUM('Run Data'!$H$122:$H$124)</x:f>
        <x:v>3</x:v>
      </x:c>
      <x:c r="M42" s="16" t="n">
        <x:f>AVERAGE('Run Data'!$K$122:$K$124)</x:f>
        <x:v>28.207052666666666</x:v>
      </x:c>
      <x:c r="N42" s="15" t="n">
        <x:f>IF(G42+I42&gt;0,1,0)</x:f>
        <x:v>0</x:v>
      </x:c>
      <x:c r="O42" s="16" t="n">
        <x:f>AVERAGE('Run Data'!$AC$122:$AC$124)</x:f>
        <x:v>5</x:v>
      </x:c>
      <x:c r="P42" s="16" t="n">
        <x:f>AVERAGE('Run Data'!$AB$122:$AB$124)</x:f>
        <x:v>9.470097</x:v>
      </x:c>
      <x:c r="Q42" s="17" t="n">
        <x:f>AVERAGE('Run Data'!$R$122:$R$124)</x:f>
        <x:v>0.999</x:v>
      </x:c>
    </x:row>
    <x:row r="43">
      <x:c r="A43" t="str">
        <x:v>No_Adaptive</x:v>
      </x:c>
      <x:c r="B43" t="str">
        <x:v>c202C15</x:v>
      </x:c>
      <x:c r="C43" t="str">
        <x:v>C</x:v>
      </x:c>
      <x:c r="D43" s="15" t="n">
        <x:v>15</x:v>
      </x:c>
      <x:c r="E43" s="15" t="n">
        <x:f>COUNT('Run Data'!$E$125:$E$127)</x:f>
        <x:v>3</x:v>
      </x:c>
      <x:c r="F43" s="16" t="n">
        <x:f>AVERAGE('Run Data'!$I$125:$I$127)</x:f>
        <x:v>3</x:v>
      </x:c>
      <x:c r="G43" s="16" t="n">
        <x:f>STDEV.S('Run Data'!$I$125:$I$127)</x:f>
        <x:v>0</x:v>
      </x:c>
      <x:c r="H43" s="16" t="n">
        <x:f>AVERAGE('Run Data'!$J$125:$J$127)</x:f>
        <x:v>376.789292</x:v>
      </x:c>
      <x:c r="I43" s="16" t="n">
        <x:f>STDEV.S('Run Data'!$J$125:$J$127)</x:f>
        <x:v>0</x:v>
      </x:c>
      <x:c r="J43" s="15" t="n">
        <x:f>MIN('Run Data'!$I$125:$I$127)</x:f>
        <x:v>3</x:v>
      </x:c>
      <x:c r="K43" s="16" t="n">
        <x:f>MINIFS('Run Data'!$J$125:$J$127,'Run Data'!$I$125:$I$127,J43)</x:f>
        <x:v>376.789292</x:v>
      </x:c>
      <x:c r="L43" s="15" t="n">
        <x:f>SUM('Run Data'!$H$125:$H$127)</x:f>
        <x:v>3</x:v>
      </x:c>
      <x:c r="M43" s="16" t="n">
        <x:f>AVERAGE('Run Data'!$K$125:$K$127)</x:f>
        <x:v>87.62977366666667</x:v>
      </x:c>
      <x:c r="N43" s="15" t="n">
        <x:f>IF(G43+I43&gt;0,1,0)</x:f>
        <x:v>0</x:v>
      </x:c>
      <x:c r="O43" s="16" t="n">
        <x:f>AVERAGE('Run Data'!$AC$125:$AC$127)</x:f>
        <x:v>4</x:v>
      </x:c>
      <x:c r="P43" s="16" t="n">
        <x:f>AVERAGE('Run Data'!$AB$125:$AB$127)</x:f>
        <x:v>2.561272</x:v>
      </x:c>
      <x:c r="Q43" s="17" t="n">
        <x:f>AVERAGE('Run Data'!$R$125:$R$127)</x:f>
        <x:v>0.9863333333333334</x:v>
      </x:c>
    </x:row>
    <x:row r="44">
      <x:c r="A44" t="str">
        <x:v>No_Adaptive</x:v>
      </x:c>
      <x:c r="B44" t="str">
        <x:v>r105C5</x:v>
      </x:c>
      <x:c r="C44" t="str">
        <x:v>R</x:v>
      </x:c>
      <x:c r="D44" s="15" t="n">
        <x:v>5</x:v>
      </x:c>
      <x:c r="E44" s="15" t="n">
        <x:f>COUNT('Run Data'!$E$128:$E$130)</x:f>
        <x:v>3</x:v>
      </x:c>
      <x:c r="F44" s="16" t="n">
        <x:f>AVERAGE('Run Data'!$I$128:$I$130)</x:f>
        <x:v>2</x:v>
      </x:c>
      <x:c r="G44" s="16" t="n">
        <x:f>STDEV.S('Run Data'!$I$128:$I$130)</x:f>
        <x:v>0</x:v>
      </x:c>
      <x:c r="H44" s="16" t="n">
        <x:f>AVERAGE('Run Data'!$J$128:$J$130)</x:f>
        <x:v>156.082069</x:v>
      </x:c>
      <x:c r="I44" s="16" t="n">
        <x:f>STDEV.S('Run Data'!$J$128:$J$130)</x:f>
        <x:v>0</x:v>
      </x:c>
      <x:c r="J44" s="15" t="n">
        <x:f>MIN('Run Data'!$I$128:$I$130)</x:f>
        <x:v>2</x:v>
      </x:c>
      <x:c r="K44" s="16" t="n">
        <x:f>MINIFS('Run Data'!$J$128:$J$130,'Run Data'!$I$128:$I$130,J44)</x:f>
        <x:v>156.082069</x:v>
      </x:c>
      <x:c r="L44" s="15" t="n">
        <x:f>SUM('Run Data'!$H$128:$H$130)</x:f>
        <x:v>3</x:v>
      </x:c>
      <x:c r="M44" s="16" t="n">
        <x:f>AVERAGE('Run Data'!$K$128:$K$130)</x:f>
        <x:v>0.8859913333333332</x:v>
      </x:c>
      <x:c r="N44" s="15" t="n">
        <x:f>IF(G44+I44&gt;0,1,0)</x:f>
        <x:v>0</x:v>
      </x:c>
      <x:c r="O44" s="16" t="n">
        <x:f>AVERAGE('Run Data'!$AC$128:$AC$130)</x:f>
        <x:v>1</x:v>
      </x:c>
      <x:c r="P44" s="16" t="n">
        <x:f>AVERAGE('Run Data'!$AB$128:$AB$130)</x:f>
        <x:v>2.82845</x:v>
      </x:c>
      <x:c r="Q44" s="17" t="n">
        <x:f>AVERAGE('Run Data'!$R$128:$R$130)</x:f>
        <x:v>1</x:v>
      </x:c>
    </x:row>
    <x:row r="45">
      <x:c r="A45" t="str">
        <x:v>No_Adaptive</x:v>
      </x:c>
      <x:c r="B45" t="str">
        <x:v>r103C10</x:v>
      </x:c>
      <x:c r="C45" t="str">
        <x:v>R</x:v>
      </x:c>
      <x:c r="D45" s="15" t="n">
        <x:v>10</x:v>
      </x:c>
      <x:c r="E45" s="15" t="n">
        <x:f>COUNT('Run Data'!$E$131:$E$133)</x:f>
        <x:v>3</x:v>
      </x:c>
      <x:c r="F45" s="16" t="n">
        <x:f>AVERAGE('Run Data'!$I$131:$I$133)</x:f>
        <x:v>2</x:v>
      </x:c>
      <x:c r="G45" s="16" t="n">
        <x:f>STDEV.S('Run Data'!$I$131:$I$133)</x:f>
        <x:v>0</x:v>
      </x:c>
      <x:c r="H45" s="16" t="n">
        <x:f>AVERAGE('Run Data'!$J$131:$J$133)</x:f>
        <x:v>207.051154</x:v>
      </x:c>
      <x:c r="I45" s="16" t="n">
        <x:f>STDEV.S('Run Data'!$J$131:$J$133)</x:f>
        <x:v>0</x:v>
      </x:c>
      <x:c r="J45" s="15" t="n">
        <x:f>MIN('Run Data'!$I$131:$I$133)</x:f>
        <x:v>2</x:v>
      </x:c>
      <x:c r="K45" s="16" t="n">
        <x:f>MINIFS('Run Data'!$J$131:$J$133,'Run Data'!$I$131:$I$133,J45)</x:f>
        <x:v>207.051154</x:v>
      </x:c>
      <x:c r="L45" s="15" t="n">
        <x:f>SUM('Run Data'!$H$131:$H$133)</x:f>
        <x:v>3</x:v>
      </x:c>
      <x:c r="M45" s="16" t="n">
        <x:f>AVERAGE('Run Data'!$K$131:$K$133)</x:f>
        <x:v>12.614116000000001</x:v>
      </x:c>
      <x:c r="N45" s="15" t="n">
        <x:f>IF(G45+I45&gt;0,1,0)</x:f>
        <x:v>0</x:v>
      </x:c>
      <x:c r="O45" s="16" t="n">
        <x:f>AVERAGE('Run Data'!$AC$131:$AC$133)</x:f>
        <x:v>3</x:v>
      </x:c>
      <x:c r="P45" s="16" t="n">
        <x:f>AVERAGE('Run Data'!$AB$131:$AB$133)</x:f>
        <x:v>0.425419</x:v>
      </x:c>
      <x:c r="Q45" s="17" t="n">
        <x:f>AVERAGE('Run Data'!$R$131:$R$133)</x:f>
        <x:v>0.9189999999999999</x:v>
      </x:c>
    </x:row>
    <x:row r="46">
      <x:c r="A46" t="str">
        <x:v>No_Adaptive</x:v>
      </x:c>
      <x:c r="B46" t="str">
        <x:v>r105C15</x:v>
      </x:c>
      <x:c r="C46" t="str">
        <x:v>R</x:v>
      </x:c>
      <x:c r="D46" s="15" t="n">
        <x:v>15</x:v>
      </x:c>
      <x:c r="E46" s="15" t="n">
        <x:f>COUNT('Run Data'!$E$134:$E$136)</x:f>
        <x:v>3</x:v>
      </x:c>
      <x:c r="F46" s="16" t="n">
        <x:f>AVERAGE('Run Data'!$I$134:$I$136)</x:f>
        <x:v>4</x:v>
      </x:c>
      <x:c r="G46" s="16" t="n">
        <x:f>STDEV.S('Run Data'!$I$134:$I$136)</x:f>
        <x:v>0</x:v>
      </x:c>
      <x:c r="H46" s="16" t="n">
        <x:f>AVERAGE('Run Data'!$J$134:$J$136)</x:f>
        <x:v>336.153602</x:v>
      </x:c>
      <x:c r="I46" s="16" t="n">
        <x:f>STDEV.S('Run Data'!$J$134:$J$136)</x:f>
        <x:v>0</x:v>
      </x:c>
      <x:c r="J46" s="15" t="n">
        <x:f>MIN('Run Data'!$I$134:$I$136)</x:f>
        <x:v>4</x:v>
      </x:c>
      <x:c r="K46" s="16" t="n">
        <x:f>MINIFS('Run Data'!$J$134:$J$136,'Run Data'!$I$134:$I$136,J46)</x:f>
        <x:v>336.153602</x:v>
      </x:c>
      <x:c r="L46" s="15" t="n">
        <x:f>SUM('Run Data'!$H$134:$H$136)</x:f>
        <x:v>3</x:v>
      </x:c>
      <x:c r="M46" s="16" t="n">
        <x:f>AVERAGE('Run Data'!$K$134:$K$136)</x:f>
        <x:v>53.736198333333334</x:v>
      </x:c>
      <x:c r="N46" s="15" t="n">
        <x:f>IF(G46+I46&gt;0,1,0)</x:f>
        <x:v>0</x:v>
      </x:c>
      <x:c r="O46" s="16" t="n">
        <x:f>AVERAGE('Run Data'!$AC$134:$AC$136)</x:f>
        <x:v>4</x:v>
      </x:c>
      <x:c r="P46" s="16" t="n">
        <x:f>AVERAGE('Run Data'!$AB$134:$AB$136)</x:f>
        <x:v>1.851332</x:v>
      </x:c>
      <x:c r="Q46" s="17" t="n">
        <x:f>AVERAGE('Run Data'!$R$134:$R$136)</x:f>
        <x:v>0.988</x:v>
      </x:c>
    </x:row>
    <x:row r="47">
      <x:c r="A47" t="str">
        <x:v>No_Adaptive</x:v>
      </x:c>
      <x:c r="B47" t="str">
        <x:v>r202C5</x:v>
      </x:c>
      <x:c r="C47" t="str">
        <x:v>R</x:v>
      </x:c>
      <x:c r="D47" s="15" t="n">
        <x:v>5</x:v>
      </x:c>
      <x:c r="E47" s="15" t="n">
        <x:f>COUNT('Run Data'!$E$137:$E$139)</x:f>
        <x:v>3</x:v>
      </x:c>
      <x:c r="F47" s="16" t="n">
        <x:f>AVERAGE('Run Data'!$I$137:$I$139)</x:f>
        <x:v>1</x:v>
      </x:c>
      <x:c r="G47" s="16" t="n">
        <x:f>STDEV.S('Run Data'!$I$137:$I$139)</x:f>
        <x:v>0</x:v>
      </x:c>
      <x:c r="H47" s="16" t="n">
        <x:f>AVERAGE('Run Data'!$J$137:$J$139)</x:f>
        <x:v>128.777139</x:v>
      </x:c>
      <x:c r="I47" s="16" t="n">
        <x:f>STDEV.S('Run Data'!$J$137:$J$139)</x:f>
        <x:v>0</x:v>
      </x:c>
      <x:c r="J47" s="15" t="n">
        <x:f>MIN('Run Data'!$I$137:$I$139)</x:f>
        <x:v>1</x:v>
      </x:c>
      <x:c r="K47" s="16" t="n">
        <x:f>MINIFS('Run Data'!$J$137:$J$139,'Run Data'!$I$137:$I$139,J47)</x:f>
        <x:v>128.777139</x:v>
      </x:c>
      <x:c r="L47" s="15" t="n">
        <x:f>SUM('Run Data'!$H$137:$H$139)</x:f>
        <x:v>3</x:v>
      </x:c>
      <x:c r="M47" s="16" t="n">
        <x:f>AVERAGE('Run Data'!$K$137:$K$139)</x:f>
        <x:v>2.7834226666666666</x:v>
      </x:c>
      <x:c r="N47" s="15" t="n">
        <x:f>IF(G47+I47&gt;0,1,0)</x:f>
        <x:v>0</x:v>
      </x:c>
      <x:c r="O47" s="16" t="n">
        <x:f>AVERAGE('Run Data'!$AC$137:$AC$139)</x:f>
        <x:v>2</x:v>
      </x:c>
      <x:c r="P47" s="16" t="n">
        <x:f>AVERAGE('Run Data'!$AB$137:$AB$139)</x:f>
        <x:v>0.273651</x:v>
      </x:c>
      <x:c r="Q47" s="17" t="n">
        <x:f>AVERAGE('Run Data'!$R$137:$R$139)</x:f>
        <x:v>1</x:v>
      </x:c>
    </x:row>
    <x:row r="48">
      <x:c r="A48" t="str">
        <x:v>No_Adaptive</x:v>
      </x:c>
      <x:c r="B48" t="str">
        <x:v>r201C10</x:v>
      </x:c>
      <x:c r="C48" t="str">
        <x:v>R</x:v>
      </x:c>
      <x:c r="D48" s="15" t="n">
        <x:v>10</x:v>
      </x:c>
      <x:c r="E48" s="15" t="n">
        <x:f>COUNT('Run Data'!$E$140:$E$142)</x:f>
        <x:v>3</x:v>
      </x:c>
      <x:c r="F48" s="16" t="n">
        <x:f>AVERAGE('Run Data'!$I$140:$I$142)</x:f>
        <x:v>1.3333333333333333</x:v>
      </x:c>
      <x:c r="G48" s="16" t="n">
        <x:f>STDEV.S('Run Data'!$I$140:$I$142)</x:f>
        <x:v>0.5773502691896257</x:v>
      </x:c>
      <x:c r="H48" s="16" t="n">
        <x:f>AVERAGE('Run Data'!$J$140:$J$142)</x:f>
        <x:v>237.12234433333333</x:v>
      </x:c>
      <x:c r="I48" s="16" t="n">
        <x:f>STDEV.S('Run Data'!$J$140:$J$142)</x:f>
        <x:v>7.592508223507784</x:v>
      </x:c>
      <x:c r="J48" s="15" t="n">
        <x:f>MIN('Run Data'!$I$140:$I$142)</x:f>
        <x:v>1</x:v>
      </x:c>
      <x:c r="K48" s="16" t="n">
        <x:f>MINIFS('Run Data'!$J$140:$J$142,'Run Data'!$I$140:$I$142,J48)</x:f>
        <x:v>241.505881</x:v>
      </x:c>
      <x:c r="L48" s="15" t="n">
        <x:f>SUM('Run Data'!$H$140:$H$142)</x:f>
        <x:v>3</x:v>
      </x:c>
      <x:c r="M48" s="16" t="n">
        <x:f>AVERAGE('Run Data'!$K$140:$K$142)</x:f>
        <x:v>21.75885033333333</x:v>
      </x:c>
      <x:c r="N48" s="15" t="n">
        <x:f>IF(G48+I48&gt;0,1,0)</x:f>
        <x:v>1</x:v>
      </x:c>
      <x:c r="O48" s="16" t="n">
        <x:f>AVERAGE('Run Data'!$AC$140:$AC$142)</x:f>
        <x:v>4.333333333333333</x:v>
      </x:c>
      <x:c r="P48" s="16" t="n">
        <x:f>AVERAGE('Run Data'!$AB$140:$AB$142)</x:f>
        <x:v>1.5165723333333334</x:v>
      </x:c>
      <x:c r="Q48" s="17" t="n">
        <x:f>AVERAGE('Run Data'!$R$140:$R$142)</x:f>
        <x:v>0.9723333333333333</x:v>
      </x:c>
    </x:row>
    <x:row r="49">
      <x:c r="A49" t="str">
        <x:v>No_Adaptive</x:v>
      </x:c>
      <x:c r="B49" t="str">
        <x:v>r202C15</x:v>
      </x:c>
      <x:c r="C49" t="str">
        <x:v>R</x:v>
      </x:c>
      <x:c r="D49" s="15" t="n">
        <x:v>15</x:v>
      </x:c>
      <x:c r="E49" s="15" t="n">
        <x:f>COUNT('Run Data'!$E$143:$E$145)</x:f>
        <x:v>3</x:v>
      </x:c>
      <x:c r="F49" s="16" t="n">
        <x:f>AVERAGE('Run Data'!$I$143:$I$145)</x:f>
        <x:v>2</x:v>
      </x:c>
      <x:c r="G49" s="16" t="n">
        <x:f>STDEV.S('Run Data'!$I$143:$I$145)</x:f>
        <x:v>0</x:v>
      </x:c>
      <x:c r="H49" s="16" t="n">
        <x:f>AVERAGE('Run Data'!$J$143:$J$145)</x:f>
        <x:v>374.27131833333334</x:v>
      </x:c>
      <x:c r="I49" s="16" t="n">
        <x:f>STDEV.S('Run Data'!$J$143:$J$145)</x:f>
        <x:v>28.174474320701716</x:v>
      </x:c>
      <x:c r="J49" s="15" t="n">
        <x:f>MIN('Run Data'!$I$143:$I$145)</x:f>
        <x:v>2</x:v>
      </x:c>
      <x:c r="K49" s="16" t="n">
        <x:f>MINIFS('Run Data'!$J$143:$J$145,'Run Data'!$I$143:$I$145,J49)</x:f>
        <x:v>358.004778</x:v>
      </x:c>
      <x:c r="L49" s="15" t="n">
        <x:f>SUM('Run Data'!$H$143:$H$145)</x:f>
        <x:v>3</x:v>
      </x:c>
      <x:c r="M49" s="16" t="n">
        <x:f>AVERAGE('Run Data'!$K$143:$K$145)</x:f>
        <x:v>192.83056566666664</x:v>
      </x:c>
      <x:c r="N49" s="15" t="n">
        <x:f>IF(G49+I49&gt;0,1,0)</x:f>
        <x:v>1</x:v>
      </x:c>
      <x:c r="O49" s="16" t="n">
        <x:f>AVERAGE('Run Data'!$AC$143:$AC$145)</x:f>
        <x:v>6.333333333333333</x:v>
      </x:c>
      <x:c r="P49" s="16" t="n">
        <x:f>AVERAGE('Run Data'!$AB$143:$AB$145)</x:f>
        <x:v>2.4001973333333333</x:v>
      </x:c>
      <x:c r="Q49" s="17" t="n">
        <x:f>AVERAGE('Run Data'!$R$143:$R$145)</x:f>
        <x:v>0.9169999999999999</x:v>
      </x:c>
    </x:row>
    <x:row r="50">
      <x:c r="A50" t="str">
        <x:v>No_Adaptive</x:v>
      </x:c>
      <x:c r="B50" t="str">
        <x:v>rc105C5</x:v>
      </x:c>
      <x:c r="C50" t="str">
        <x:v>RC</x:v>
      </x:c>
      <x:c r="D50" s="15" t="n">
        <x:v>5</x:v>
      </x:c>
      <x:c r="E50" s="15" t="n">
        <x:f>COUNT('Run Data'!$E$146:$E$148)</x:f>
        <x:v>3</x:v>
      </x:c>
      <x:c r="F50" s="16" t="n">
        <x:f>AVERAGE('Run Data'!$I$146:$I$148)</x:f>
        <x:v>3</x:v>
      </x:c>
      <x:c r="G50" s="16" t="n">
        <x:f>STDEV.S('Run Data'!$I$146:$I$148)</x:f>
        <x:v>0</x:v>
      </x:c>
      <x:c r="H50" s="16" t="n">
        <x:f>AVERAGE('Run Data'!$J$146:$J$148)</x:f>
        <x:v>238.052232</x:v>
      </x:c>
      <x:c r="I50" s="16" t="n">
        <x:f>STDEV.S('Run Data'!$J$146:$J$148)</x:f>
        <x:v>0</x:v>
      </x:c>
      <x:c r="J50" s="15" t="n">
        <x:f>MIN('Run Data'!$I$146:$I$148)</x:f>
        <x:v>3</x:v>
      </x:c>
      <x:c r="K50" s="16" t="n">
        <x:f>MINIFS('Run Data'!$J$146:$J$148,'Run Data'!$I$146:$I$148,J50)</x:f>
        <x:v>238.052232</x:v>
      </x:c>
      <x:c r="L50" s="15" t="n">
        <x:f>SUM('Run Data'!$H$146:$H$148)</x:f>
        <x:v>3</x:v>
      </x:c>
      <x:c r="M50" s="16" t="n">
        <x:f>AVERAGE('Run Data'!$K$146:$K$148)</x:f>
        <x:v>1.1970656666666668</x:v>
      </x:c>
      <x:c r="N50" s="15" t="n">
        <x:f>IF(G50+I50&gt;0,1,0)</x:f>
        <x:v>0</x:v>
      </x:c>
      <x:c r="O50" s="16" t="n">
        <x:f>AVERAGE('Run Data'!$AC$146:$AC$148)</x:f>
        <x:v>1</x:v>
      </x:c>
      <x:c r="P50" s="16" t="n">
        <x:f>AVERAGE('Run Data'!$AB$146:$AB$148)</x:f>
        <x:v>7.75</x:v>
      </x:c>
      <x:c r="Q50" s="17" t="n">
        <x:f>AVERAGE('Run Data'!$R$146:$R$148)</x:f>
        <x:v>1</x:v>
      </x:c>
    </x:row>
    <x:row r="51">
      <x:c r="A51" t="str">
        <x:v>No_Adaptive</x:v>
      </x:c>
      <x:c r="B51" t="str">
        <x:v>rc102C10</x:v>
      </x:c>
      <x:c r="C51" t="str">
        <x:v>RC</x:v>
      </x:c>
      <x:c r="D51" s="15" t="n">
        <x:v>10</x:v>
      </x:c>
      <x:c r="E51" s="15" t="n">
        <x:f>COUNT('Run Data'!$E$149:$E$151)</x:f>
        <x:v>3</x:v>
      </x:c>
      <x:c r="F51" s="16" t="n">
        <x:f>AVERAGE('Run Data'!$I$149:$I$151)</x:f>
        <x:v>4</x:v>
      </x:c>
      <x:c r="G51" s="16" t="n">
        <x:f>STDEV.S('Run Data'!$I$149:$I$151)</x:f>
        <x:v>0</x:v>
      </x:c>
      <x:c r="H51" s="16" t="n">
        <x:f>AVERAGE('Run Data'!$J$149:$J$151)</x:f>
        <x:v>423.510182</x:v>
      </x:c>
      <x:c r="I51" s="16" t="n">
        <x:f>STDEV.S('Run Data'!$J$149:$J$151)</x:f>
        <x:v>0</x:v>
      </x:c>
      <x:c r="J51" s="15" t="n">
        <x:f>MIN('Run Data'!$I$149:$I$151)</x:f>
        <x:v>4</x:v>
      </x:c>
      <x:c r="K51" s="16" t="n">
        <x:f>MINIFS('Run Data'!$J$149:$J$151,'Run Data'!$I$149:$I$151,J51)</x:f>
        <x:v>423.510182</x:v>
      </x:c>
      <x:c r="L51" s="15" t="n">
        <x:f>SUM('Run Data'!$H$149:$H$151)</x:f>
        <x:v>3</x:v>
      </x:c>
      <x:c r="M51" s="16" t="n">
        <x:f>AVERAGE('Run Data'!$K$149:$K$151)</x:f>
        <x:v>9.152952333333333</x:v>
      </x:c>
      <x:c r="N51" s="15" t="n">
        <x:f>IF(G51+I51&gt;0,1,0)</x:f>
        <x:v>0</x:v>
      </x:c>
      <x:c r="O51" s="16" t="n">
        <x:f>AVERAGE('Run Data'!$AC$149:$AC$151)</x:f>
        <x:v>3</x:v>
      </x:c>
      <x:c r="P51" s="16" t="n">
        <x:f>AVERAGE('Run Data'!$AB$149:$AB$151)</x:f>
        <x:v>0.51776</x:v>
      </x:c>
      <x:c r="Q51" s="17" t="n">
        <x:f>AVERAGE('Run Data'!$R$149:$R$151)</x:f>
        <x:v>0.977</x:v>
      </x:c>
    </x:row>
    <x:row r="52">
      <x:c r="A52" t="str">
        <x:v>No_Adaptive</x:v>
      </x:c>
      <x:c r="B52" t="str">
        <x:v>rc103C15</x:v>
      </x:c>
      <x:c r="C52" t="str">
        <x:v>RC</x:v>
      </x:c>
      <x:c r="D52" s="15" t="n">
        <x:v>15</x:v>
      </x:c>
      <x:c r="E52" s="15" t="n">
        <x:f>COUNT('Run Data'!$E$152:$E$154)</x:f>
        <x:v>3</x:v>
      </x:c>
      <x:c r="F52" s="16" t="n">
        <x:f>AVERAGE('Run Data'!$I$152:$I$154)</x:f>
        <x:v>4</x:v>
      </x:c>
      <x:c r="G52" s="16" t="n">
        <x:f>STDEV.S('Run Data'!$I$152:$I$154)</x:f>
        <x:v>0</x:v>
      </x:c>
      <x:c r="H52" s="16" t="n">
        <x:f>AVERAGE('Run Data'!$J$152:$J$154)</x:f>
        <x:v>397.66985700000004</x:v>
      </x:c>
      <x:c r="I52" s="16" t="n">
        <x:f>STDEV.S('Run Data'!$J$152:$J$154)</x:f>
        <x:v>6.961868572213853e-14</x:v>
      </x:c>
      <x:c r="J52" s="15" t="n">
        <x:f>MIN('Run Data'!$I$152:$I$154)</x:f>
        <x:v>4</x:v>
      </x:c>
      <x:c r="K52" s="16" t="n">
        <x:f>MINIFS('Run Data'!$J$152:$J$154,'Run Data'!$I$152:$I$154,J52)</x:f>
        <x:v>397.669857</x:v>
      </x:c>
      <x:c r="L52" s="15" t="n">
        <x:f>SUM('Run Data'!$H$152:$H$154)</x:f>
        <x:v>3</x:v>
      </x:c>
      <x:c r="M52" s="16" t="n">
        <x:f>AVERAGE('Run Data'!$K$152:$K$154)</x:f>
        <x:v>52.07774333333333</x:v>
      </x:c>
      <x:c r="N52" s="15" t="n">
        <x:f>IF(G52+I52&gt;0,1,0)</x:f>
        <x:v>0</x:v>
      </x:c>
      <x:c r="O52" s="16" t="n">
        <x:f>AVERAGE('Run Data'!$AC$152:$AC$154)</x:f>
        <x:v>4</x:v>
      </x:c>
      <x:c r="P52" s="16" t="n">
        <x:f>AVERAGE('Run Data'!$AB$152:$AB$154)</x:f>
        <x:v>9.161259</x:v>
      </x:c>
      <x:c r="Q52" s="17" t="n">
        <x:f>AVERAGE('Run Data'!$R$152:$R$154)</x:f>
        <x:v>0.8703333333333333</x:v>
      </x:c>
    </x:row>
    <x:row r="53">
      <x:c r="A53" t="str">
        <x:v>No_Adaptive</x:v>
      </x:c>
      <x:c r="B53" t="str">
        <x:v>rc204C5</x:v>
      </x:c>
      <x:c r="C53" t="str">
        <x:v>RC</x:v>
      </x:c>
      <x:c r="D53" s="15" t="n">
        <x:v>5</x:v>
      </x:c>
      <x:c r="E53" s="15" t="n">
        <x:f>COUNT('Run Data'!$E$155:$E$157)</x:f>
        <x:v>3</x:v>
      </x:c>
      <x:c r="F53" s="16" t="n">
        <x:f>AVERAGE('Run Data'!$I$155:$I$157)</x:f>
        <x:v>1</x:v>
      </x:c>
      <x:c r="G53" s="16" t="n">
        <x:f>STDEV.S('Run Data'!$I$155:$I$157)</x:f>
        <x:v>0</x:v>
      </x:c>
      <x:c r="H53" s="16" t="n">
        <x:f>AVERAGE('Run Data'!$J$155:$J$157)</x:f>
        <x:v>179.162472</x:v>
      </x:c>
      <x:c r="I53" s="16" t="n">
        <x:f>STDEV.S('Run Data'!$J$155:$J$157)</x:f>
        <x:v>0</x:v>
      </x:c>
      <x:c r="J53" s="15" t="n">
        <x:f>MIN('Run Data'!$I$155:$I$157)</x:f>
        <x:v>1</x:v>
      </x:c>
      <x:c r="K53" s="16" t="n">
        <x:f>MINIFS('Run Data'!$J$155:$J$157,'Run Data'!$I$155:$I$157,J53)</x:f>
        <x:v>179.162472</x:v>
      </x:c>
      <x:c r="L53" s="15" t="n">
        <x:f>SUM('Run Data'!$H$155:$H$157)</x:f>
        <x:v>3</x:v>
      </x:c>
      <x:c r="M53" s="16" t="n">
        <x:f>AVERAGE('Run Data'!$K$155:$K$157)</x:f>
        <x:v>3.578325</x:v>
      </x:c>
      <x:c r="N53" s="15" t="n">
        <x:f>IF(G53+I53&gt;0,1,0)</x:f>
        <x:v>0</x:v>
      </x:c>
      <x:c r="O53" s="16" t="n">
        <x:f>AVERAGE('Run Data'!$AC$155:$AC$157)</x:f>
        <x:v>2</x:v>
      </x:c>
      <x:c r="P53" s="16" t="n">
        <x:f>AVERAGE('Run Data'!$AB$155:$AB$157)</x:f>
        <x:v>7.467526</x:v>
      </x:c>
      <x:c r="Q53" s="17" t="n">
        <x:f>AVERAGE('Run Data'!$R$155:$R$157)</x:f>
        <x:v>0.999</x:v>
      </x:c>
    </x:row>
    <x:row r="54">
      <x:c r="A54" t="str">
        <x:v>No_Adaptive</x:v>
      </x:c>
      <x:c r="B54" t="str">
        <x:v>rc201C10</x:v>
      </x:c>
      <x:c r="C54" t="str">
        <x:v>RC</x:v>
      </x:c>
      <x:c r="D54" s="15" t="n">
        <x:v>10</x:v>
      </x:c>
      <x:c r="E54" s="15" t="n">
        <x:f>COUNT('Run Data'!$E$158:$E$160)</x:f>
        <x:v>3</x:v>
      </x:c>
      <x:c r="F54" s="16" t="n">
        <x:f>AVERAGE('Run Data'!$I$158:$I$160)</x:f>
        <x:v>1</x:v>
      </x:c>
      <x:c r="G54" s="16" t="n">
        <x:f>STDEV.S('Run Data'!$I$158:$I$160)</x:f>
        <x:v>0</x:v>
      </x:c>
      <x:c r="H54" s="16" t="n">
        <x:f>AVERAGE('Run Data'!$J$158:$J$160)</x:f>
        <x:v>412.8613950000001</x:v>
      </x:c>
      <x:c r="I54" s="16" t="n">
        <x:f>STDEV.S('Run Data'!$J$158:$J$160)</x:f>
        <x:v>6.961868572213853e-14</x:v>
      </x:c>
      <x:c r="J54" s="15" t="n">
        <x:f>MIN('Run Data'!$I$158:$I$160)</x:f>
        <x:v>1</x:v>
      </x:c>
      <x:c r="K54" s="16" t="n">
        <x:f>MINIFS('Run Data'!$J$158:$J$160,'Run Data'!$I$158:$I$160,J54)</x:f>
        <x:v>412.861395</x:v>
      </x:c>
      <x:c r="L54" s="15" t="n">
        <x:f>SUM('Run Data'!$H$158:$H$160)</x:f>
        <x:v>3</x:v>
      </x:c>
      <x:c r="M54" s="16" t="n">
        <x:f>AVERAGE('Run Data'!$K$158:$K$160)</x:f>
        <x:v>23.886942</x:v>
      </x:c>
      <x:c r="N54" s="15" t="n">
        <x:f>IF(G54+I54&gt;0,1,0)</x:f>
        <x:v>0</x:v>
      </x:c>
      <x:c r="O54" s="16" t="n">
        <x:f>AVERAGE('Run Data'!$AC$158:$AC$160)</x:f>
        <x:v>6</x:v>
      </x:c>
      <x:c r="P54" s="16" t="n">
        <x:f>AVERAGE('Run Data'!$AB$158:$AB$160)</x:f>
        <x:v>0.919251</x:v>
      </x:c>
      <x:c r="Q54" s="17" t="n">
        <x:f>AVERAGE('Run Data'!$R$158:$R$160)</x:f>
        <x:v>0.9943333333333332</x:v>
      </x:c>
    </x:row>
    <x:row r="55">
      <x:c r="A55" t="str">
        <x:v>No_Adaptive</x:v>
      </x:c>
      <x:c r="B55" t="str">
        <x:v>rc202C15</x:v>
      </x:c>
      <x:c r="C55" t="str">
        <x:v>RC</x:v>
      </x:c>
      <x:c r="D55" s="15" t="n">
        <x:v>15</x:v>
      </x:c>
      <x:c r="E55" s="15" t="n">
        <x:f>COUNT('Run Data'!$E$161:$E$163)</x:f>
        <x:v>3</x:v>
      </x:c>
      <x:c r="F55" s="16" t="n">
        <x:f>AVERAGE('Run Data'!$I$161:$I$163)</x:f>
        <x:v>2</x:v>
      </x:c>
      <x:c r="G55" s="16" t="n">
        <x:f>STDEV.S('Run Data'!$I$161:$I$163)</x:f>
        <x:v>0</x:v>
      </x:c>
      <x:c r="H55" s="16" t="n">
        <x:f>AVERAGE('Run Data'!$J$161:$J$163)</x:f>
        <x:v>436.96549366666665</x:v>
      </x:c>
      <x:c r="I55" s="16" t="n">
        <x:f>STDEV.S('Run Data'!$J$161:$J$163)</x:f>
        <x:v>36.87393679267703</x:v>
      </x:c>
      <x:c r="J55" s="15" t="n">
        <x:f>MIN('Run Data'!$I$161:$I$163)</x:f>
        <x:v>2</x:v>
      </x:c>
      <x:c r="K55" s="16" t="n">
        <x:f>MINIFS('Run Data'!$J$161:$J$163,'Run Data'!$I$161:$I$163,J55)</x:f>
        <x:v>394.387139</x:v>
      </x:c>
      <x:c r="L55" s="15" t="n">
        <x:f>SUM('Run Data'!$H$161:$H$163)</x:f>
        <x:v>3</x:v>
      </x:c>
      <x:c r="M55" s="16" t="n">
        <x:f>AVERAGE('Run Data'!$K$161:$K$163)</x:f>
        <x:v>137.640562</x:v>
      </x:c>
      <x:c r="N55" s="15" t="n">
        <x:f>IF(G55+I55&gt;0,1,0)</x:f>
        <x:v>1</x:v>
      </x:c>
      <x:c r="O55" s="16" t="n">
        <x:f>AVERAGE('Run Data'!$AC$161:$AC$163)</x:f>
        <x:v>6</x:v>
      </x:c>
      <x:c r="P55" s="16" t="n">
        <x:f>AVERAGE('Run Data'!$AB$161:$AB$163)</x:f>
        <x:v>2.1126046666666665</x:v>
      </x:c>
      <x:c r="Q55" s="17" t="n">
        <x:f>AVERAGE('Run Data'!$R$161:$R$163)</x:f>
        <x:v>0.6836666666666668</x:v>
      </x:c>
    </x:row>
    <x:row r="56">
      <x:c r="A56" t="str">
        <x:v>No_SA</x:v>
      </x:c>
      <x:c r="B56" t="str">
        <x:v>c101C5</x:v>
      </x:c>
      <x:c r="C56" t="str">
        <x:v>C</x:v>
      </x:c>
      <x:c r="D56" s="15" t="n">
        <x:v>5</x:v>
      </x:c>
      <x:c r="E56" s="15" t="n">
        <x:f>COUNT('Run Data'!$E$164:$E$166)</x:f>
        <x:v>3</x:v>
      </x:c>
      <x:c r="F56" s="16" t="n">
        <x:f>AVERAGE('Run Data'!$I$164:$I$166)</x:f>
        <x:v>3</x:v>
      </x:c>
      <x:c r="G56" s="16" t="n">
        <x:f>STDEV.S('Run Data'!$I$164:$I$166)</x:f>
        <x:v>0</x:v>
      </x:c>
      <x:c r="H56" s="16" t="n">
        <x:f>AVERAGE('Run Data'!$J$164:$J$166)</x:f>
        <x:v>247.149706</x:v>
      </x:c>
      <x:c r="I56" s="16" t="n">
        <x:f>STDEV.S('Run Data'!$J$164:$J$166)</x:f>
        <x:v>0</x:v>
      </x:c>
      <x:c r="J56" s="15" t="n">
        <x:f>MIN('Run Data'!$I$164:$I$166)</x:f>
        <x:v>3</x:v>
      </x:c>
      <x:c r="K56" s="16" t="n">
        <x:f>MINIFS('Run Data'!$J$164:$J$166,'Run Data'!$I$164:$I$166,J56)</x:f>
        <x:v>247.149706</x:v>
      </x:c>
      <x:c r="L56" s="15" t="n">
        <x:f>SUM('Run Data'!$H$164:$H$166)</x:f>
        <x:v>3</x:v>
      </x:c>
      <x:c r="M56" s="16" t="n">
        <x:f>AVERAGE('Run Data'!$K$164:$K$166)</x:f>
        <x:v>1.0983183333333335</x:v>
      </x:c>
      <x:c r="N56" s="15" t="n">
        <x:f>IF(G56+I56&gt;0,1,0)</x:f>
        <x:v>0</x:v>
      </x:c>
      <x:c r="O56" s="16" t="n">
        <x:f>AVERAGE('Run Data'!$AC$164:$AC$166)</x:f>
        <x:v>2</x:v>
      </x:c>
      <x:c r="P56" s="16" t="n">
        <x:f>AVERAGE('Run Data'!$AB$164:$AB$166)</x:f>
        <x:v>2.113492</x:v>
      </x:c>
      <x:c r="Q56" s="17" t="n">
        <x:f>AVERAGE('Run Data'!$R$164:$R$166)</x:f>
        <x:v>0.9986666666666667</x:v>
      </x:c>
    </x:row>
    <x:row r="57">
      <x:c r="A57" t="str">
        <x:v>No_SA</x:v>
      </x:c>
      <x:c r="B57" t="str">
        <x:v>c101C10</x:v>
      </x:c>
      <x:c r="C57" t="str">
        <x:v>C</x:v>
      </x:c>
      <x:c r="D57" s="15" t="n">
        <x:v>10</x:v>
      </x:c>
      <x:c r="E57" s="15" t="n">
        <x:f>COUNT('Run Data'!$E$167:$E$169)</x:f>
        <x:v>3</x:v>
      </x:c>
      <x:c r="F57" s="16" t="n">
        <x:f>AVERAGE('Run Data'!$I$167:$I$169)</x:f>
        <x:v>3</x:v>
      </x:c>
      <x:c r="G57" s="16" t="n">
        <x:f>STDEV.S('Run Data'!$I$167:$I$169)</x:f>
        <x:v>0</x:v>
      </x:c>
      <x:c r="H57" s="16" t="n">
        <x:f>AVERAGE('Run Data'!$J$167:$J$169)</x:f>
        <x:v>408.477828</x:v>
      </x:c>
      <x:c r="I57" s="16" t="n">
        <x:f>STDEV.S('Run Data'!$J$167:$J$169)</x:f>
        <x:v>0</x:v>
      </x:c>
      <x:c r="J57" s="15" t="n">
        <x:f>MIN('Run Data'!$I$167:$I$169)</x:f>
        <x:v>3</x:v>
      </x:c>
      <x:c r="K57" s="16" t="n">
        <x:f>MINIFS('Run Data'!$J$167:$J$169,'Run Data'!$I$167:$I$169,J57)</x:f>
        <x:v>408.477828</x:v>
      </x:c>
      <x:c r="L57" s="15" t="n">
        <x:f>SUM('Run Data'!$H$167:$H$169)</x:f>
        <x:v>3</x:v>
      </x:c>
      <x:c r="M57" s="16" t="n">
        <x:f>AVERAGE('Run Data'!$K$167:$K$169)</x:f>
        <x:v>20.523557999999998</x:v>
      </x:c>
      <x:c r="N57" s="15" t="n">
        <x:f>IF(G57+I57&gt;0,1,0)</x:f>
        <x:v>0</x:v>
      </x:c>
      <x:c r="O57" s="16" t="n">
        <x:f>AVERAGE('Run Data'!$AC$167:$AC$169)</x:f>
        <x:v>5</x:v>
      </x:c>
      <x:c r="P57" s="16" t="n">
        <x:f>AVERAGE('Run Data'!$AB$167:$AB$169)</x:f>
        <x:v>8.21048</x:v>
      </x:c>
      <x:c r="Q57" s="17" t="n">
        <x:f>AVERAGE('Run Data'!$R$167:$R$169)</x:f>
        <x:v>0.9033333333333333</x:v>
      </x:c>
    </x:row>
    <x:row r="58">
      <x:c r="A58" t="str">
        <x:v>No_SA</x:v>
      </x:c>
      <x:c r="B58" t="str">
        <x:v>c103C15</x:v>
      </x:c>
      <x:c r="C58" t="str">
        <x:v>C</x:v>
      </x:c>
      <x:c r="D58" s="15" t="n">
        <x:v>15</x:v>
      </x:c>
      <x:c r="E58" s="15" t="n">
        <x:f>COUNT('Run Data'!$E$170:$E$172)</x:f>
        <x:v>3</x:v>
      </x:c>
      <x:c r="F58" s="16" t="n">
        <x:f>AVERAGE('Run Data'!$I$170:$I$172)</x:f>
        <x:v>3</x:v>
      </x:c>
      <x:c r="G58" s="16" t="n">
        <x:f>STDEV.S('Run Data'!$I$170:$I$172)</x:f>
        <x:v>0</x:v>
      </x:c>
      <x:c r="H58" s="16" t="n">
        <x:f>AVERAGE('Run Data'!$J$170:$J$172)</x:f>
        <x:v>392.977769</x:v>
      </x:c>
      <x:c r="I58" s="16" t="n">
        <x:f>STDEV.S('Run Data'!$J$170:$J$172)</x:f>
        <x:v>0</x:v>
      </x:c>
      <x:c r="J58" s="15" t="n">
        <x:f>MIN('Run Data'!$I$170:$I$172)</x:f>
        <x:v>3</x:v>
      </x:c>
      <x:c r="K58" s="16" t="n">
        <x:f>MINIFS('Run Data'!$J$170:$J$172,'Run Data'!$I$170:$I$172,J58)</x:f>
        <x:v>392.977769</x:v>
      </x:c>
      <x:c r="L58" s="15" t="n">
        <x:f>SUM('Run Data'!$H$170:$H$172)</x:f>
        <x:v>3</x:v>
      </x:c>
      <x:c r="M58" s="16" t="n">
        <x:f>AVERAGE('Run Data'!$K$170:$K$172)</x:f>
        <x:v>68.72418800000001</x:v>
      </x:c>
      <x:c r="N58" s="15" t="n">
        <x:f>IF(G58+I58&gt;0,1,0)</x:f>
        <x:v>0</x:v>
      </x:c>
      <x:c r="O58" s="16" t="n">
        <x:f>AVERAGE('Run Data'!$AC$170:$AC$172)</x:f>
        <x:v>4</x:v>
      </x:c>
      <x:c r="P58" s="16" t="n">
        <x:f>AVERAGE('Run Data'!$AB$170:$AB$172)</x:f>
        <x:v>1.327451</x:v>
      </x:c>
      <x:c r="Q58" s="17" t="n">
        <x:f>AVERAGE('Run Data'!$R$170:$R$172)</x:f>
        <x:v>0.9223333333333333</x:v>
      </x:c>
    </x:row>
    <x:row r="59">
      <x:c r="A59" t="str">
        <x:v>No_SA</x:v>
      </x:c>
      <x:c r="B59" t="str">
        <x:v>c206C5</x:v>
      </x:c>
      <x:c r="C59" t="str">
        <x:v>C</x:v>
      </x:c>
      <x:c r="D59" s="15" t="n">
        <x:v>5</x:v>
      </x:c>
      <x:c r="E59" s="15" t="n">
        <x:f>COUNT('Run Data'!$E$173:$E$175)</x:f>
        <x:v>3</x:v>
      </x:c>
      <x:c r="F59" s="16" t="n">
        <x:f>AVERAGE('Run Data'!$I$173:$I$175)</x:f>
        <x:v>1</x:v>
      </x:c>
      <x:c r="G59" s="16" t="n">
        <x:f>STDEV.S('Run Data'!$I$173:$I$175)</x:f>
        <x:v>0</x:v>
      </x:c>
      <x:c r="H59" s="16" t="n">
        <x:f>AVERAGE('Run Data'!$J$173:$J$175)</x:f>
        <x:v>242.555652</x:v>
      </x:c>
      <x:c r="I59" s="16" t="n">
        <x:f>STDEV.S('Run Data'!$J$173:$J$175)</x:f>
        <x:v>0</x:v>
      </x:c>
      <x:c r="J59" s="15" t="n">
        <x:f>MIN('Run Data'!$I$173:$I$175)</x:f>
        <x:v>1</x:v>
      </x:c>
      <x:c r="K59" s="16" t="n">
        <x:f>MINIFS('Run Data'!$J$173:$J$175,'Run Data'!$I$173:$I$175,J59)</x:f>
        <x:v>242.555652</x:v>
      </x:c>
      <x:c r="L59" s="15" t="n">
        <x:f>SUM('Run Data'!$H$173:$H$175)</x:f>
        <x:v>3</x:v>
      </x:c>
      <x:c r="M59" s="16" t="n">
        <x:f>AVERAGE('Run Data'!$K$173:$K$175)</x:f>
        <x:v>2.1069626666666665</x:v>
      </x:c>
      <x:c r="N59" s="15" t="n">
        <x:f>IF(G59+I59&gt;0,1,0)</x:f>
        <x:v>0</x:v>
      </x:c>
      <x:c r="O59" s="16" t="n">
        <x:f>AVERAGE('Run Data'!$AC$173:$AC$175)</x:f>
        <x:v>3</x:v>
      </x:c>
      <x:c r="P59" s="16" t="n">
        <x:f>AVERAGE('Run Data'!$AB$173:$AB$175)</x:f>
        <x:v>1.592269</x:v>
      </x:c>
      <x:c r="Q59" s="17" t="n">
        <x:f>AVERAGE('Run Data'!$R$173:$R$175)</x:f>
        <x:v>1</x:v>
      </x:c>
    </x:row>
    <x:row r="60">
      <x:c r="A60" t="str">
        <x:v>No_SA</x:v>
      </x:c>
      <x:c r="B60" t="str">
        <x:v>c202C10</x:v>
      </x:c>
      <x:c r="C60" t="str">
        <x:v>C</x:v>
      </x:c>
      <x:c r="D60" s="15" t="n">
        <x:v>10</x:v>
      </x:c>
      <x:c r="E60" s="15" t="n">
        <x:f>COUNT('Run Data'!$E$176:$E$178)</x:f>
        <x:v>3</x:v>
      </x:c>
      <x:c r="F60" s="16" t="n">
        <x:f>AVERAGE('Run Data'!$I$176:$I$178)</x:f>
        <x:v>1</x:v>
      </x:c>
      <x:c r="G60" s="16" t="n">
        <x:f>STDEV.S('Run Data'!$I$176:$I$178)</x:f>
        <x:v>0</x:v>
      </x:c>
      <x:c r="H60" s="16" t="n">
        <x:f>AVERAGE('Run Data'!$J$176:$J$178)</x:f>
        <x:v>304.058332</x:v>
      </x:c>
      <x:c r="I60" s="16" t="n">
        <x:f>STDEV.S('Run Data'!$J$176:$J$178)</x:f>
        <x:v>0</x:v>
      </x:c>
      <x:c r="J60" s="15" t="n">
        <x:f>MIN('Run Data'!$I$176:$I$178)</x:f>
        <x:v>1</x:v>
      </x:c>
      <x:c r="K60" s="16" t="n">
        <x:f>MINIFS('Run Data'!$J$176:$J$178,'Run Data'!$I$176:$I$178,J60)</x:f>
        <x:v>304.058332</x:v>
      </x:c>
      <x:c r="L60" s="15" t="n">
        <x:f>SUM('Run Data'!$H$176:$H$178)</x:f>
        <x:v>3</x:v>
      </x:c>
      <x:c r="M60" s="16" t="n">
        <x:f>AVERAGE('Run Data'!$K$176:$K$178)</x:f>
        <x:v>27.770979666666666</x:v>
      </x:c>
      <x:c r="N60" s="15" t="n">
        <x:f>IF(G60+I60&gt;0,1,0)</x:f>
        <x:v>0</x:v>
      </x:c>
      <x:c r="O60" s="16" t="n">
        <x:f>AVERAGE('Run Data'!$AC$176:$AC$178)</x:f>
        <x:v>5</x:v>
      </x:c>
      <x:c r="P60" s="16" t="n">
        <x:f>AVERAGE('Run Data'!$AB$176:$AB$178)</x:f>
        <x:v>9.470097</x:v>
      </x:c>
      <x:c r="Q60" s="17" t="n">
        <x:f>AVERAGE('Run Data'!$R$176:$R$178)</x:f>
        <x:v>0.999</x:v>
      </x:c>
    </x:row>
    <x:row r="61">
      <x:c r="A61" t="str">
        <x:v>No_SA</x:v>
      </x:c>
      <x:c r="B61" t="str">
        <x:v>c202C15</x:v>
      </x:c>
      <x:c r="C61" t="str">
        <x:v>C</x:v>
      </x:c>
      <x:c r="D61" s="15" t="n">
        <x:v>15</x:v>
      </x:c>
      <x:c r="E61" s="15" t="n">
        <x:f>COUNT('Run Data'!$E$179:$E$181)</x:f>
        <x:v>3</x:v>
      </x:c>
      <x:c r="F61" s="16" t="n">
        <x:f>AVERAGE('Run Data'!$I$179:$I$181)</x:f>
        <x:v>3</x:v>
      </x:c>
      <x:c r="G61" s="16" t="n">
        <x:f>STDEV.S('Run Data'!$I$179:$I$181)</x:f>
        <x:v>0</x:v>
      </x:c>
      <x:c r="H61" s="16" t="n">
        <x:f>AVERAGE('Run Data'!$J$179:$J$181)</x:f>
        <x:v>376.789292</x:v>
      </x:c>
      <x:c r="I61" s="16" t="n">
        <x:f>STDEV.S('Run Data'!$J$179:$J$181)</x:f>
        <x:v>0</x:v>
      </x:c>
      <x:c r="J61" s="15" t="n">
        <x:f>MIN('Run Data'!$I$179:$I$181)</x:f>
        <x:v>3</x:v>
      </x:c>
      <x:c r="K61" s="16" t="n">
        <x:f>MINIFS('Run Data'!$J$179:$J$181,'Run Data'!$I$179:$I$181,J61)</x:f>
        <x:v>376.789292</x:v>
      </x:c>
      <x:c r="L61" s="15" t="n">
        <x:f>SUM('Run Data'!$H$179:$H$181)</x:f>
        <x:v>3</x:v>
      </x:c>
      <x:c r="M61" s="16" t="n">
        <x:f>AVERAGE('Run Data'!$K$179:$K$181)</x:f>
        <x:v>87.66974900000001</x:v>
      </x:c>
      <x:c r="N61" s="15" t="n">
        <x:f>IF(G61+I61&gt;0,1,0)</x:f>
        <x:v>0</x:v>
      </x:c>
      <x:c r="O61" s="16" t="n">
        <x:f>AVERAGE('Run Data'!$AC$179:$AC$181)</x:f>
        <x:v>4</x:v>
      </x:c>
      <x:c r="P61" s="16" t="n">
        <x:f>AVERAGE('Run Data'!$AB$179:$AB$181)</x:f>
        <x:v>2.561272</x:v>
      </x:c>
      <x:c r="Q61" s="17" t="n">
        <x:f>AVERAGE('Run Data'!$R$179:$R$181)</x:f>
        <x:v>0.9853333333333333</x:v>
      </x:c>
    </x:row>
    <x:row r="62">
      <x:c r="A62" t="str">
        <x:v>No_SA</x:v>
      </x:c>
      <x:c r="B62" t="str">
        <x:v>r105C5</x:v>
      </x:c>
      <x:c r="C62" t="str">
        <x:v>R</x:v>
      </x:c>
      <x:c r="D62" s="15" t="n">
        <x:v>5</x:v>
      </x:c>
      <x:c r="E62" s="15" t="n">
        <x:f>COUNT('Run Data'!$E$182:$E$184)</x:f>
        <x:v>3</x:v>
      </x:c>
      <x:c r="F62" s="16" t="n">
        <x:f>AVERAGE('Run Data'!$I$182:$I$184)</x:f>
        <x:v>2</x:v>
      </x:c>
      <x:c r="G62" s="16" t="n">
        <x:f>STDEV.S('Run Data'!$I$182:$I$184)</x:f>
        <x:v>0</x:v>
      </x:c>
      <x:c r="H62" s="16" t="n">
        <x:f>AVERAGE('Run Data'!$J$182:$J$184)</x:f>
        <x:v>156.082069</x:v>
      </x:c>
      <x:c r="I62" s="16" t="n">
        <x:f>STDEV.S('Run Data'!$J$182:$J$184)</x:f>
        <x:v>0</x:v>
      </x:c>
      <x:c r="J62" s="15" t="n">
        <x:f>MIN('Run Data'!$I$182:$I$184)</x:f>
        <x:v>2</x:v>
      </x:c>
      <x:c r="K62" s="16" t="n">
        <x:f>MINIFS('Run Data'!$J$182:$J$184,'Run Data'!$I$182:$I$184,J62)</x:f>
        <x:v>156.082069</x:v>
      </x:c>
      <x:c r="L62" s="15" t="n">
        <x:f>SUM('Run Data'!$H$182:$H$184)</x:f>
        <x:v>3</x:v>
      </x:c>
      <x:c r="M62" s="16" t="n">
        <x:f>AVERAGE('Run Data'!$K$182:$K$184)</x:f>
        <x:v>0.8832913333333332</x:v>
      </x:c>
      <x:c r="N62" s="15" t="n">
        <x:f>IF(G62+I62&gt;0,1,0)</x:f>
        <x:v>0</x:v>
      </x:c>
      <x:c r="O62" s="16" t="n">
        <x:f>AVERAGE('Run Data'!$AC$182:$AC$184)</x:f>
        <x:v>1</x:v>
      </x:c>
      <x:c r="P62" s="16" t="n">
        <x:f>AVERAGE('Run Data'!$AB$182:$AB$184)</x:f>
        <x:v>2.82845</x:v>
      </x:c>
      <x:c r="Q62" s="17" t="n">
        <x:f>AVERAGE('Run Data'!$R$182:$R$184)</x:f>
        <x:v>1</x:v>
      </x:c>
    </x:row>
    <x:row r="63">
      <x:c r="A63" t="str">
        <x:v>No_SA</x:v>
      </x:c>
      <x:c r="B63" t="str">
        <x:v>r103C10</x:v>
      </x:c>
      <x:c r="C63" t="str">
        <x:v>R</x:v>
      </x:c>
      <x:c r="D63" s="15" t="n">
        <x:v>10</x:v>
      </x:c>
      <x:c r="E63" s="15" t="n">
        <x:f>COUNT('Run Data'!$E$185:$E$187)</x:f>
        <x:v>3</x:v>
      </x:c>
      <x:c r="F63" s="16" t="n">
        <x:f>AVERAGE('Run Data'!$I$185:$I$187)</x:f>
        <x:v>2</x:v>
      </x:c>
      <x:c r="G63" s="16" t="n">
        <x:f>STDEV.S('Run Data'!$I$185:$I$187)</x:f>
        <x:v>0</x:v>
      </x:c>
      <x:c r="H63" s="16" t="n">
        <x:f>AVERAGE('Run Data'!$J$185:$J$187)</x:f>
        <x:v>207.051154</x:v>
      </x:c>
      <x:c r="I63" s="16" t="n">
        <x:f>STDEV.S('Run Data'!$J$185:$J$187)</x:f>
        <x:v>0</x:v>
      </x:c>
      <x:c r="J63" s="15" t="n">
        <x:f>MIN('Run Data'!$I$185:$I$187)</x:f>
        <x:v>2</x:v>
      </x:c>
      <x:c r="K63" s="16" t="n">
        <x:f>MINIFS('Run Data'!$J$185:$J$187,'Run Data'!$I$185:$I$187,J63)</x:f>
        <x:v>207.051154</x:v>
      </x:c>
      <x:c r="L63" s="15" t="n">
        <x:f>SUM('Run Data'!$H$185:$H$187)</x:f>
        <x:v>3</x:v>
      </x:c>
      <x:c r="M63" s="16" t="n">
        <x:f>AVERAGE('Run Data'!$K$185:$K$187)</x:f>
        <x:v>12.116222333333333</x:v>
      </x:c>
      <x:c r="N63" s="15" t="n">
        <x:f>IF(G63+I63&gt;0,1,0)</x:f>
        <x:v>0</x:v>
      </x:c>
      <x:c r="O63" s="16" t="n">
        <x:f>AVERAGE('Run Data'!$AC$185:$AC$187)</x:f>
        <x:v>3</x:v>
      </x:c>
      <x:c r="P63" s="16" t="n">
        <x:f>AVERAGE('Run Data'!$AB$185:$AB$187)</x:f>
        <x:v>0.425419</x:v>
      </x:c>
      <x:c r="Q63" s="17" t="n">
        <x:f>AVERAGE('Run Data'!$R$185:$R$187)</x:f>
        <x:v>0.9390000000000001</x:v>
      </x:c>
    </x:row>
    <x:row r="64">
      <x:c r="A64" t="str">
        <x:v>No_SA</x:v>
      </x:c>
      <x:c r="B64" t="str">
        <x:v>r105C15</x:v>
      </x:c>
      <x:c r="C64" t="str">
        <x:v>R</x:v>
      </x:c>
      <x:c r="D64" s="15" t="n">
        <x:v>15</x:v>
      </x:c>
      <x:c r="E64" s="15" t="n">
        <x:f>COUNT('Run Data'!$E$188:$E$190)</x:f>
        <x:v>3</x:v>
      </x:c>
      <x:c r="F64" s="16" t="n">
        <x:f>AVERAGE('Run Data'!$I$188:$I$190)</x:f>
        <x:v>4</x:v>
      </x:c>
      <x:c r="G64" s="16" t="n">
        <x:f>STDEV.S('Run Data'!$I$188:$I$190)</x:f>
        <x:v>0</x:v>
      </x:c>
      <x:c r="H64" s="16" t="n">
        <x:f>AVERAGE('Run Data'!$J$188:$J$190)</x:f>
        <x:v>336.153602</x:v>
      </x:c>
      <x:c r="I64" s="16" t="n">
        <x:f>STDEV.S('Run Data'!$J$188:$J$190)</x:f>
        <x:v>0</x:v>
      </x:c>
      <x:c r="J64" s="15" t="n">
        <x:f>MIN('Run Data'!$I$188:$I$190)</x:f>
        <x:v>4</x:v>
      </x:c>
      <x:c r="K64" s="16" t="n">
        <x:f>MINIFS('Run Data'!$J$188:$J$190,'Run Data'!$I$188:$I$190,J64)</x:f>
        <x:v>336.153602</x:v>
      </x:c>
      <x:c r="L64" s="15" t="n">
        <x:f>SUM('Run Data'!$H$188:$H$190)</x:f>
        <x:v>3</x:v>
      </x:c>
      <x:c r="M64" s="16" t="n">
        <x:f>AVERAGE('Run Data'!$K$188:$K$190)</x:f>
        <x:v>51.47266033333333</x:v>
      </x:c>
      <x:c r="N64" s="15" t="n">
        <x:f>IF(G64+I64&gt;0,1,0)</x:f>
        <x:v>0</x:v>
      </x:c>
      <x:c r="O64" s="16" t="n">
        <x:f>AVERAGE('Run Data'!$AC$188:$AC$190)</x:f>
        <x:v>4</x:v>
      </x:c>
      <x:c r="P64" s="16" t="n">
        <x:f>AVERAGE('Run Data'!$AB$188:$AB$190)</x:f>
        <x:v>1.851332</x:v>
      </x:c>
      <x:c r="Q64" s="17" t="n">
        <x:f>AVERAGE('Run Data'!$R$188:$R$190)</x:f>
        <x:v>0.987</x:v>
      </x:c>
    </x:row>
    <x:row r="65">
      <x:c r="A65" t="str">
        <x:v>No_SA</x:v>
      </x:c>
      <x:c r="B65" t="str">
        <x:v>r202C5</x:v>
      </x:c>
      <x:c r="C65" t="str">
        <x:v>R</x:v>
      </x:c>
      <x:c r="D65" s="15" t="n">
        <x:v>5</x:v>
      </x:c>
      <x:c r="E65" s="15" t="n">
        <x:f>COUNT('Run Data'!$E$191:$E$193)</x:f>
        <x:v>3</x:v>
      </x:c>
      <x:c r="F65" s="16" t="n">
        <x:f>AVERAGE('Run Data'!$I$191:$I$193)</x:f>
        <x:v>1</x:v>
      </x:c>
      <x:c r="G65" s="16" t="n">
        <x:f>STDEV.S('Run Data'!$I$191:$I$193)</x:f>
        <x:v>0</x:v>
      </x:c>
      <x:c r="H65" s="16" t="n">
        <x:f>AVERAGE('Run Data'!$J$191:$J$193)</x:f>
        <x:v>128.777139</x:v>
      </x:c>
      <x:c r="I65" s="16" t="n">
        <x:f>STDEV.S('Run Data'!$J$191:$J$193)</x:f>
        <x:v>0</x:v>
      </x:c>
      <x:c r="J65" s="15" t="n">
        <x:f>MIN('Run Data'!$I$191:$I$193)</x:f>
        <x:v>1</x:v>
      </x:c>
      <x:c r="K65" s="16" t="n">
        <x:f>MINIFS('Run Data'!$J$191:$J$193,'Run Data'!$I$191:$I$193,J65)</x:f>
        <x:v>128.777139</x:v>
      </x:c>
      <x:c r="L65" s="15" t="n">
        <x:f>SUM('Run Data'!$H$191:$H$193)</x:f>
        <x:v>3</x:v>
      </x:c>
      <x:c r="M65" s="16" t="n">
        <x:f>AVERAGE('Run Data'!$K$191:$K$193)</x:f>
        <x:v>2.7516913333333335</x:v>
      </x:c>
      <x:c r="N65" s="15" t="n">
        <x:f>IF(G65+I65&gt;0,1,0)</x:f>
        <x:v>0</x:v>
      </x:c>
      <x:c r="O65" s="16" t="n">
        <x:f>AVERAGE('Run Data'!$AC$191:$AC$193)</x:f>
        <x:v>2</x:v>
      </x:c>
      <x:c r="P65" s="16" t="n">
        <x:f>AVERAGE('Run Data'!$AB$191:$AB$193)</x:f>
        <x:v>0.273651</x:v>
      </x:c>
      <x:c r="Q65" s="17" t="n">
        <x:f>AVERAGE('Run Data'!$R$191:$R$193)</x:f>
        <x:v>1</x:v>
      </x:c>
    </x:row>
    <x:row r="66">
      <x:c r="A66" t="str">
        <x:v>No_SA</x:v>
      </x:c>
      <x:c r="B66" t="str">
        <x:v>r201C10</x:v>
      </x:c>
      <x:c r="C66" t="str">
        <x:v>R</x:v>
      </x:c>
      <x:c r="D66" s="15" t="n">
        <x:v>10</x:v>
      </x:c>
      <x:c r="E66" s="15" t="n">
        <x:f>COUNT('Run Data'!$E$194:$E$196)</x:f>
        <x:v>3</x:v>
      </x:c>
      <x:c r="F66" s="16" t="n">
        <x:f>AVERAGE('Run Data'!$I$194:$I$196)</x:f>
        <x:v>1.3333333333333333</x:v>
      </x:c>
      <x:c r="G66" s="16" t="n">
        <x:f>STDEV.S('Run Data'!$I$194:$I$196)</x:f>
        <x:v>0.5773502691896257</x:v>
      </x:c>
      <x:c r="H66" s="16" t="n">
        <x:f>AVERAGE('Run Data'!$J$194:$J$196)</x:f>
        <x:v>237.12234433333333</x:v>
      </x:c>
      <x:c r="I66" s="16" t="n">
        <x:f>STDEV.S('Run Data'!$J$194:$J$196)</x:f>
        <x:v>7.592508223507784</x:v>
      </x:c>
      <x:c r="J66" s="15" t="n">
        <x:f>MIN('Run Data'!$I$194:$I$196)</x:f>
        <x:v>1</x:v>
      </x:c>
      <x:c r="K66" s="16" t="n">
        <x:f>MINIFS('Run Data'!$J$194:$J$196,'Run Data'!$I$194:$I$196,J66)</x:f>
        <x:v>241.505881</x:v>
      </x:c>
      <x:c r="L66" s="15" t="n">
        <x:f>SUM('Run Data'!$H$194:$H$196)</x:f>
        <x:v>3</x:v>
      </x:c>
      <x:c r="M66" s="16" t="n">
        <x:f>AVERAGE('Run Data'!$K$194:$K$196)</x:f>
        <x:v>21.898334666666667</x:v>
      </x:c>
      <x:c r="N66" s="15" t="n">
        <x:f>IF(G66+I66&gt;0,1,0)</x:f>
        <x:v>1</x:v>
      </x:c>
      <x:c r="O66" s="16" t="n">
        <x:f>AVERAGE('Run Data'!$AC$194:$AC$196)</x:f>
        <x:v>4.333333333333333</x:v>
      </x:c>
      <x:c r="P66" s="16" t="n">
        <x:f>AVERAGE('Run Data'!$AB$194:$AB$196)</x:f>
        <x:v>1.5165723333333334</x:v>
      </x:c>
      <x:c r="Q66" s="17" t="n">
        <x:f>AVERAGE('Run Data'!$R$194:$R$196)</x:f>
        <x:v>0.9706666666666667</x:v>
      </x:c>
    </x:row>
    <x:row r="67">
      <x:c r="A67" t="str">
        <x:v>No_SA</x:v>
      </x:c>
      <x:c r="B67" t="str">
        <x:v>r202C15</x:v>
      </x:c>
      <x:c r="C67" t="str">
        <x:v>R</x:v>
      </x:c>
      <x:c r="D67" s="15" t="n">
        <x:v>15</x:v>
      </x:c>
      <x:c r="E67" s="15" t="n">
        <x:f>COUNT('Run Data'!$E$197:$E$199)</x:f>
        <x:v>3</x:v>
      </x:c>
      <x:c r="F67" s="16" t="n">
        <x:f>AVERAGE('Run Data'!$I$197:$I$199)</x:f>
        <x:v>2</x:v>
      </x:c>
      <x:c r="G67" s="16" t="n">
        <x:f>STDEV.S('Run Data'!$I$197:$I$199)</x:f>
        <x:v>0</x:v>
      </x:c>
      <x:c r="H67" s="16" t="n">
        <x:f>AVERAGE('Run Data'!$J$197:$J$199)</x:f>
        <x:v>398.9173843333333</x:v>
      </x:c>
      <x:c r="I67" s="16" t="n">
        <x:f>STDEV.S('Run Data'!$J$197:$J$199)</x:f>
        <x:v>6.8303550613537745</x:v>
      </x:c>
      <x:c r="J67" s="15" t="n">
        <x:f>MIN('Run Data'!$I$197:$I$199)</x:f>
        <x:v>2</x:v>
      </x:c>
      <x:c r="K67" s="16" t="n">
        <x:f>MINIFS('Run Data'!$J$197:$J$199,'Run Data'!$I$197:$I$199,J67)</x:f>
        <x:v>394.973877</x:v>
      </x:c>
      <x:c r="L67" s="15" t="n">
        <x:f>SUM('Run Data'!$H$197:$H$199)</x:f>
        <x:v>3</x:v>
      </x:c>
      <x:c r="M67" s="16" t="n">
        <x:f>AVERAGE('Run Data'!$K$197:$K$199)</x:f>
        <x:v>275.098647</x:v>
      </x:c>
      <x:c r="N67" s="15" t="n">
        <x:f>IF(G67+I67&gt;0,1,0)</x:f>
        <x:v>1</x:v>
      </x:c>
      <x:c r="O67" s="16" t="n">
        <x:f>AVERAGE('Run Data'!$AC$197:$AC$199)</x:f>
        <x:v>6.333333333333333</x:v>
      </x:c>
      <x:c r="P67" s="16" t="n">
        <x:f>AVERAGE('Run Data'!$AB$197:$AB$199)</x:f>
        <x:v>2.4001973333333333</x:v>
      </x:c>
      <x:c r="Q67" s="17" t="n">
        <x:f>AVERAGE('Run Data'!$R$197:$R$199)</x:f>
        <x:v>0.8503333333333333</x:v>
      </x:c>
    </x:row>
    <x:row r="68">
      <x:c r="A68" t="str">
        <x:v>No_SA</x:v>
      </x:c>
      <x:c r="B68" t="str">
        <x:v>rc105C5</x:v>
      </x:c>
      <x:c r="C68" t="str">
        <x:v>RC</x:v>
      </x:c>
      <x:c r="D68" s="15" t="n">
        <x:v>5</x:v>
      </x:c>
      <x:c r="E68" s="15" t="n">
        <x:f>COUNT('Run Data'!$E$200:$E$202)</x:f>
        <x:v>3</x:v>
      </x:c>
      <x:c r="F68" s="16" t="n">
        <x:f>AVERAGE('Run Data'!$I$200:$I$202)</x:f>
        <x:v>3</x:v>
      </x:c>
      <x:c r="G68" s="16" t="n">
        <x:f>STDEV.S('Run Data'!$I$200:$I$202)</x:f>
        <x:v>0</x:v>
      </x:c>
      <x:c r="H68" s="16" t="n">
        <x:f>AVERAGE('Run Data'!$J$200:$J$202)</x:f>
        <x:v>238.052232</x:v>
      </x:c>
      <x:c r="I68" s="16" t="n">
        <x:f>STDEV.S('Run Data'!$J$200:$J$202)</x:f>
        <x:v>0</x:v>
      </x:c>
      <x:c r="J68" s="15" t="n">
        <x:f>MIN('Run Data'!$I$200:$I$202)</x:f>
        <x:v>3</x:v>
      </x:c>
      <x:c r="K68" s="16" t="n">
        <x:f>MINIFS('Run Data'!$J$200:$J$202,'Run Data'!$I$200:$I$202,J68)</x:f>
        <x:v>238.052232</x:v>
      </x:c>
      <x:c r="L68" s="15" t="n">
        <x:f>SUM('Run Data'!$H$200:$H$202)</x:f>
        <x:v>3</x:v>
      </x:c>
      <x:c r="M68" s="16" t="n">
        <x:f>AVERAGE('Run Data'!$K$200:$K$202)</x:f>
        <x:v>1.1775200000000001</x:v>
      </x:c>
      <x:c r="N68" s="15" t="n">
        <x:f>IF(G68+I68&gt;0,1,0)</x:f>
        <x:v>0</x:v>
      </x:c>
      <x:c r="O68" s="16" t="n">
        <x:f>AVERAGE('Run Data'!$AC$200:$AC$202)</x:f>
        <x:v>1</x:v>
      </x:c>
      <x:c r="P68" s="16" t="n">
        <x:f>AVERAGE('Run Data'!$AB$200:$AB$202)</x:f>
        <x:v>7.75</x:v>
      </x:c>
      <x:c r="Q68" s="17" t="n">
        <x:f>AVERAGE('Run Data'!$R$200:$R$202)</x:f>
        <x:v>1</x:v>
      </x:c>
    </x:row>
    <x:row r="69">
      <x:c r="A69" t="str">
        <x:v>No_SA</x:v>
      </x:c>
      <x:c r="B69" t="str">
        <x:v>rc102C10</x:v>
      </x:c>
      <x:c r="C69" t="str">
        <x:v>RC</x:v>
      </x:c>
      <x:c r="D69" s="15" t="n">
        <x:v>10</x:v>
      </x:c>
      <x:c r="E69" s="15" t="n">
        <x:f>COUNT('Run Data'!$E$203:$E$205)</x:f>
        <x:v>3</x:v>
      </x:c>
      <x:c r="F69" s="16" t="n">
        <x:f>AVERAGE('Run Data'!$I$203:$I$205)</x:f>
        <x:v>4</x:v>
      </x:c>
      <x:c r="G69" s="16" t="n">
        <x:f>STDEV.S('Run Data'!$I$203:$I$205)</x:f>
        <x:v>0</x:v>
      </x:c>
      <x:c r="H69" s="16" t="n">
        <x:f>AVERAGE('Run Data'!$J$203:$J$205)</x:f>
        <x:v>423.510182</x:v>
      </x:c>
      <x:c r="I69" s="16" t="n">
        <x:f>STDEV.S('Run Data'!$J$203:$J$205)</x:f>
        <x:v>0</x:v>
      </x:c>
      <x:c r="J69" s="15" t="n">
        <x:f>MIN('Run Data'!$I$203:$I$205)</x:f>
        <x:v>4</x:v>
      </x:c>
      <x:c r="K69" s="16" t="n">
        <x:f>MINIFS('Run Data'!$J$203:$J$205,'Run Data'!$I$203:$I$205,J69)</x:f>
        <x:v>423.510182</x:v>
      </x:c>
      <x:c r="L69" s="15" t="n">
        <x:f>SUM('Run Data'!$H$203:$H$205)</x:f>
        <x:v>3</x:v>
      </x:c>
      <x:c r="M69" s="16" t="n">
        <x:f>AVERAGE('Run Data'!$K$203:$K$205)</x:f>
        <x:v>9.101797333333332</x:v>
      </x:c>
      <x:c r="N69" s="15" t="n">
        <x:f>IF(G69+I69&gt;0,1,0)</x:f>
        <x:v>0</x:v>
      </x:c>
      <x:c r="O69" s="16" t="n">
        <x:f>AVERAGE('Run Data'!$AC$203:$AC$205)</x:f>
        <x:v>3</x:v>
      </x:c>
      <x:c r="P69" s="16" t="n">
        <x:f>AVERAGE('Run Data'!$AB$203:$AB$205)</x:f>
        <x:v>0.51776</x:v>
      </x:c>
      <x:c r="Q69" s="17" t="n">
        <x:f>AVERAGE('Run Data'!$R$203:$R$205)</x:f>
        <x:v>0.9743333333333334</x:v>
      </x:c>
    </x:row>
    <x:row r="70">
      <x:c r="A70" t="str">
        <x:v>No_SA</x:v>
      </x:c>
      <x:c r="B70" t="str">
        <x:v>rc103C15</x:v>
      </x:c>
      <x:c r="C70" t="str">
        <x:v>RC</x:v>
      </x:c>
      <x:c r="D70" s="15" t="n">
        <x:v>15</x:v>
      </x:c>
      <x:c r="E70" s="15" t="n">
        <x:f>COUNT('Run Data'!$E$206:$E$208)</x:f>
        <x:v>3</x:v>
      </x:c>
      <x:c r="F70" s="16" t="n">
        <x:f>AVERAGE('Run Data'!$I$206:$I$208)</x:f>
        <x:v>4</x:v>
      </x:c>
      <x:c r="G70" s="16" t="n">
        <x:f>STDEV.S('Run Data'!$I$206:$I$208)</x:f>
        <x:v>0</x:v>
      </x:c>
      <x:c r="H70" s="16" t="n">
        <x:f>AVERAGE('Run Data'!$J$206:$J$208)</x:f>
        <x:v>397.66985700000004</x:v>
      </x:c>
      <x:c r="I70" s="16" t="n">
        <x:f>STDEV.S('Run Data'!$J$206:$J$208)</x:f>
        <x:v>6.961868572213853e-14</x:v>
      </x:c>
      <x:c r="J70" s="15" t="n">
        <x:f>MIN('Run Data'!$I$206:$I$208)</x:f>
        <x:v>4</x:v>
      </x:c>
      <x:c r="K70" s="16" t="n">
        <x:f>MINIFS('Run Data'!$J$206:$J$208,'Run Data'!$I$206:$I$208,J70)</x:f>
        <x:v>397.669857</x:v>
      </x:c>
      <x:c r="L70" s="15" t="n">
        <x:f>SUM('Run Data'!$H$206:$H$208)</x:f>
        <x:v>3</x:v>
      </x:c>
      <x:c r="M70" s="16" t="n">
        <x:f>AVERAGE('Run Data'!$K$206:$K$208)</x:f>
        <x:v>52.980355333333335</x:v>
      </x:c>
      <x:c r="N70" s="15" t="n">
        <x:f>IF(G70+I70&gt;0,1,0)</x:f>
        <x:v>0</x:v>
      </x:c>
      <x:c r="O70" s="16" t="n">
        <x:f>AVERAGE('Run Data'!$AC$206:$AC$208)</x:f>
        <x:v>4</x:v>
      </x:c>
      <x:c r="P70" s="16" t="n">
        <x:f>AVERAGE('Run Data'!$AB$206:$AB$208)</x:f>
        <x:v>9.161259</x:v>
      </x:c>
      <x:c r="Q70" s="17" t="n">
        <x:f>AVERAGE('Run Data'!$R$206:$R$208)</x:f>
        <x:v>0.8933333333333334</x:v>
      </x:c>
    </x:row>
    <x:row r="71">
      <x:c r="A71" t="str">
        <x:v>No_SA</x:v>
      </x:c>
      <x:c r="B71" t="str">
        <x:v>rc204C5</x:v>
      </x:c>
      <x:c r="C71" t="str">
        <x:v>RC</x:v>
      </x:c>
      <x:c r="D71" s="15" t="n">
        <x:v>5</x:v>
      </x:c>
      <x:c r="E71" s="15" t="n">
        <x:f>COUNT('Run Data'!$E$209:$E$211)</x:f>
        <x:v>3</x:v>
      </x:c>
      <x:c r="F71" s="16" t="n">
        <x:f>AVERAGE('Run Data'!$I$209:$I$211)</x:f>
        <x:v>1</x:v>
      </x:c>
      <x:c r="G71" s="16" t="n">
        <x:f>STDEV.S('Run Data'!$I$209:$I$211)</x:f>
        <x:v>0</x:v>
      </x:c>
      <x:c r="H71" s="16" t="n">
        <x:f>AVERAGE('Run Data'!$J$209:$J$211)</x:f>
        <x:v>179.162472</x:v>
      </x:c>
      <x:c r="I71" s="16" t="n">
        <x:f>STDEV.S('Run Data'!$J$209:$J$211)</x:f>
        <x:v>0</x:v>
      </x:c>
      <x:c r="J71" s="15" t="n">
        <x:f>MIN('Run Data'!$I$209:$I$211)</x:f>
        <x:v>1</x:v>
      </x:c>
      <x:c r="K71" s="16" t="n">
        <x:f>MINIFS('Run Data'!$J$209:$J$211,'Run Data'!$I$209:$I$211,J71)</x:f>
        <x:v>179.162472</x:v>
      </x:c>
      <x:c r="L71" s="15" t="n">
        <x:f>SUM('Run Data'!$H$209:$H$211)</x:f>
        <x:v>3</x:v>
      </x:c>
      <x:c r="M71" s="16" t="n">
        <x:f>AVERAGE('Run Data'!$K$209:$K$211)</x:f>
        <x:v>3.4664636666666664</x:v>
      </x:c>
      <x:c r="N71" s="15" t="n">
        <x:f>IF(G71+I71&gt;0,1,0)</x:f>
        <x:v>0</x:v>
      </x:c>
      <x:c r="O71" s="16" t="n">
        <x:f>AVERAGE('Run Data'!$AC$209:$AC$211)</x:f>
        <x:v>2</x:v>
      </x:c>
      <x:c r="P71" s="16" t="n">
        <x:f>AVERAGE('Run Data'!$AB$209:$AB$211)</x:f>
        <x:v>7.467526</x:v>
      </x:c>
      <x:c r="Q71" s="17" t="n">
        <x:f>AVERAGE('Run Data'!$R$209:$R$211)</x:f>
        <x:v>0.999</x:v>
      </x:c>
    </x:row>
    <x:row r="72">
      <x:c r="A72" t="str">
        <x:v>No_SA</x:v>
      </x:c>
      <x:c r="B72" t="str">
        <x:v>rc201C10</x:v>
      </x:c>
      <x:c r="C72" t="str">
        <x:v>RC</x:v>
      </x:c>
      <x:c r="D72" s="15" t="n">
        <x:v>10</x:v>
      </x:c>
      <x:c r="E72" s="15" t="n">
        <x:f>COUNT('Run Data'!$E$212:$E$214)</x:f>
        <x:v>3</x:v>
      </x:c>
      <x:c r="F72" s="16" t="n">
        <x:f>AVERAGE('Run Data'!$I$212:$I$214)</x:f>
        <x:v>1</x:v>
      </x:c>
      <x:c r="G72" s="16" t="n">
        <x:f>STDEV.S('Run Data'!$I$212:$I$214)</x:f>
        <x:v>0</x:v>
      </x:c>
      <x:c r="H72" s="16" t="n">
        <x:f>AVERAGE('Run Data'!$J$212:$J$214)</x:f>
        <x:v>412.8613950000001</x:v>
      </x:c>
      <x:c r="I72" s="16" t="n">
        <x:f>STDEV.S('Run Data'!$J$212:$J$214)</x:f>
        <x:v>6.961868572213853e-14</x:v>
      </x:c>
      <x:c r="J72" s="15" t="n">
        <x:f>MIN('Run Data'!$I$212:$I$214)</x:f>
        <x:v>1</x:v>
      </x:c>
      <x:c r="K72" s="16" t="n">
        <x:f>MINIFS('Run Data'!$J$212:$J$214,'Run Data'!$I$212:$I$214,J72)</x:f>
        <x:v>412.861395</x:v>
      </x:c>
      <x:c r="L72" s="15" t="n">
        <x:f>SUM('Run Data'!$H$212:$H$214)</x:f>
        <x:v>3</x:v>
      </x:c>
      <x:c r="M72" s="16" t="n">
        <x:f>AVERAGE('Run Data'!$K$212:$K$214)</x:f>
        <x:v>23.394823333333335</x:v>
      </x:c>
      <x:c r="N72" s="15" t="n">
        <x:f>IF(G72+I72&gt;0,1,0)</x:f>
        <x:v>0</x:v>
      </x:c>
      <x:c r="O72" s="16" t="n">
        <x:f>AVERAGE('Run Data'!$AC$212:$AC$214)</x:f>
        <x:v>6</x:v>
      </x:c>
      <x:c r="P72" s="16" t="n">
        <x:f>AVERAGE('Run Data'!$AB$212:$AB$214)</x:f>
        <x:v>0.919251</x:v>
      </x:c>
      <x:c r="Q72" s="17" t="n">
        <x:f>AVERAGE('Run Data'!$R$212:$R$214)</x:f>
        <x:v>0.9933333333333333</x:v>
      </x:c>
    </x:row>
    <x:row r="73">
      <x:c r="A73" t="str">
        <x:v>No_SA</x:v>
      </x:c>
      <x:c r="B73" t="str">
        <x:v>rc202C15</x:v>
      </x:c>
      <x:c r="C73" t="str">
        <x:v>RC</x:v>
      </x:c>
      <x:c r="D73" s="15" t="n">
        <x:v>15</x:v>
      </x:c>
      <x:c r="E73" s="15" t="n">
        <x:f>COUNT('Run Data'!$E$215:$E$217)</x:f>
        <x:v>3</x:v>
      </x:c>
      <x:c r="F73" s="16" t="n">
        <x:f>AVERAGE('Run Data'!$I$215:$I$217)</x:f>
        <x:v>2</x:v>
      </x:c>
      <x:c r="G73" s="16" t="n">
        <x:f>STDEV.S('Run Data'!$I$215:$I$217)</x:f>
        <x:v>0</x:v>
      </x:c>
      <x:c r="H73" s="16" t="n">
        <x:f>AVERAGE('Run Data'!$J$215:$J$217)</x:f>
        <x:v>436.96549366666665</x:v>
      </x:c>
      <x:c r="I73" s="16" t="n">
        <x:f>STDEV.S('Run Data'!$J$215:$J$217)</x:f>
        <x:v>36.87393679267703</x:v>
      </x:c>
      <x:c r="J73" s="15" t="n">
        <x:f>MIN('Run Data'!$I$215:$I$217)</x:f>
        <x:v>2</x:v>
      </x:c>
      <x:c r="K73" s="16" t="n">
        <x:f>MINIFS('Run Data'!$J$215:$J$217,'Run Data'!$I$215:$I$217,J73)</x:f>
        <x:v>394.387139</x:v>
      </x:c>
      <x:c r="L73" s="15" t="n">
        <x:f>SUM('Run Data'!$H$215:$H$217)</x:f>
        <x:v>3</x:v>
      </x:c>
      <x:c r="M73" s="16" t="n">
        <x:f>AVERAGE('Run Data'!$K$215:$K$217)</x:f>
        <x:v>137.48386666666667</x:v>
      </x:c>
      <x:c r="N73" s="15" t="n">
        <x:f>IF(G73+I73&gt;0,1,0)</x:f>
        <x:v>1</x:v>
      </x:c>
      <x:c r="O73" s="16" t="n">
        <x:f>AVERAGE('Run Data'!$AC$215:$AC$217)</x:f>
        <x:v>6</x:v>
      </x:c>
      <x:c r="P73" s="16" t="n">
        <x:f>AVERAGE('Run Data'!$AB$215:$AB$217)</x:f>
        <x:v>2.1126046666666665</x:v>
      </x:c>
      <x:c r="Q73" s="17" t="n">
        <x:f>AVERAGE('Run Data'!$R$215:$R$217)</x:f>
        <x:v>0.6843333333333333</x:v>
      </x:c>
    </x:row>
    <x:row r="74">
      <x:c r="A74" t="str">
        <x:v>No_Local_Search</x:v>
      </x:c>
      <x:c r="B74" t="str">
        <x:v>c101C5</x:v>
      </x:c>
      <x:c r="C74" t="str">
        <x:v>C</x:v>
      </x:c>
      <x:c r="D74" s="15" t="n">
        <x:v>5</x:v>
      </x:c>
      <x:c r="E74" s="15" t="n">
        <x:f>COUNT('Run Data'!$E$218:$E$220)</x:f>
        <x:v>3</x:v>
      </x:c>
      <x:c r="F74" s="16" t="n">
        <x:f>AVERAGE('Run Data'!$I$218:$I$220)</x:f>
        <x:v>3</x:v>
      </x:c>
      <x:c r="G74" s="16" t="n">
        <x:f>STDEV.S('Run Data'!$I$218:$I$220)</x:f>
        <x:v>0</x:v>
      </x:c>
      <x:c r="H74" s="16" t="n">
        <x:f>AVERAGE('Run Data'!$J$218:$J$220)</x:f>
        <x:v>247.149706</x:v>
      </x:c>
      <x:c r="I74" s="16" t="n">
        <x:f>STDEV.S('Run Data'!$J$218:$J$220)</x:f>
        <x:v>0</x:v>
      </x:c>
      <x:c r="J74" s="15" t="n">
        <x:f>MIN('Run Data'!$I$218:$I$220)</x:f>
        <x:v>3</x:v>
      </x:c>
      <x:c r="K74" s="16" t="n">
        <x:f>MINIFS('Run Data'!$J$218:$J$220,'Run Data'!$I$218:$I$220,J74)</x:f>
        <x:v>247.149706</x:v>
      </x:c>
      <x:c r="L74" s="15" t="n">
        <x:f>SUM('Run Data'!$H$218:$H$220)</x:f>
        <x:v>3</x:v>
      </x:c>
      <x:c r="M74" s="16" t="n">
        <x:f>AVERAGE('Run Data'!$K$218:$K$220)</x:f>
        <x:v>0.60493</x:v>
      </x:c>
      <x:c r="N74" s="15" t="n">
        <x:f>IF(G74+I74&gt;0,1,0)</x:f>
        <x:v>0</x:v>
      </x:c>
      <x:c r="O74" s="16" t="n">
        <x:f>AVERAGE('Run Data'!$AC$218:$AC$220)</x:f>
        <x:v>2</x:v>
      </x:c>
      <x:c r="P74" s="16" t="n">
        <x:f>AVERAGE('Run Data'!$AB$218:$AB$220)</x:f>
        <x:v>2.113492</x:v>
      </x:c>
      <x:c r="Q74" s="17" t="n">
        <x:f>AVERAGE('Run Data'!$R$218:$R$220)</x:f>
        <x:v>0.9979999999999999</x:v>
      </x:c>
    </x:row>
    <x:row r="75">
      <x:c r="A75" t="str">
        <x:v>No_Local_Search</x:v>
      </x:c>
      <x:c r="B75" t="str">
        <x:v>c101C10</x:v>
      </x:c>
      <x:c r="C75" t="str">
        <x:v>C</x:v>
      </x:c>
      <x:c r="D75" s="15" t="n">
        <x:v>10</x:v>
      </x:c>
      <x:c r="E75" s="15" t="n">
        <x:f>COUNT('Run Data'!$E$221:$E$223)</x:f>
        <x:v>3</x:v>
      </x:c>
      <x:c r="F75" s="16" t="n">
        <x:f>AVERAGE('Run Data'!$I$221:$I$223)</x:f>
        <x:v>3</x:v>
      </x:c>
      <x:c r="G75" s="16" t="n">
        <x:f>STDEV.S('Run Data'!$I$221:$I$223)</x:f>
        <x:v>0</x:v>
      </x:c>
      <x:c r="H75" s="16" t="n">
        <x:f>AVERAGE('Run Data'!$J$221:$J$223)</x:f>
        <x:v>408.477828</x:v>
      </x:c>
      <x:c r="I75" s="16" t="n">
        <x:f>STDEV.S('Run Data'!$J$221:$J$223)</x:f>
        <x:v>0</x:v>
      </x:c>
      <x:c r="J75" s="15" t="n">
        <x:f>MIN('Run Data'!$I$221:$I$223)</x:f>
        <x:v>3</x:v>
      </x:c>
      <x:c r="K75" s="16" t="n">
        <x:f>MINIFS('Run Data'!$J$221:$J$223,'Run Data'!$I$221:$I$223,J75)</x:f>
        <x:v>408.477828</x:v>
      </x:c>
      <x:c r="L75" s="15" t="n">
        <x:f>SUM('Run Data'!$H$221:$H$223)</x:f>
        <x:v>3</x:v>
      </x:c>
      <x:c r="M75" s="16" t="n">
        <x:f>AVERAGE('Run Data'!$K$221:$K$223)</x:f>
        <x:v>9.212773</x:v>
      </x:c>
      <x:c r="N75" s="15" t="n">
        <x:f>IF(G75+I75&gt;0,1,0)</x:f>
        <x:v>0</x:v>
      </x:c>
      <x:c r="O75" s="16" t="n">
        <x:f>AVERAGE('Run Data'!$AC$221:$AC$223)</x:f>
        <x:v>5</x:v>
      </x:c>
      <x:c r="P75" s="16" t="n">
        <x:f>AVERAGE('Run Data'!$AB$221:$AB$223)</x:f>
        <x:v>8.21048</x:v>
      </x:c>
      <x:c r="Q75" s="17" t="n">
        <x:f>AVERAGE('Run Data'!$R$221:$R$223)</x:f>
        <x:v>0.888</x:v>
      </x:c>
    </x:row>
    <x:row r="76">
      <x:c r="A76" t="str">
        <x:v>No_Local_Search</x:v>
      </x:c>
      <x:c r="B76" t="str">
        <x:v>c103C15</x:v>
      </x:c>
      <x:c r="C76" t="str">
        <x:v>C</x:v>
      </x:c>
      <x:c r="D76" s="15" t="n">
        <x:v>15</x:v>
      </x:c>
      <x:c r="E76" s="15" t="n">
        <x:f>COUNT('Run Data'!$E$224:$E$226)</x:f>
        <x:v>3</x:v>
      </x:c>
      <x:c r="F76" s="16" t="n">
        <x:f>AVERAGE('Run Data'!$I$224:$I$226)</x:f>
        <x:v>3</x:v>
      </x:c>
      <x:c r="G76" s="16" t="n">
        <x:f>STDEV.S('Run Data'!$I$224:$I$226)</x:f>
        <x:v>0</x:v>
      </x:c>
      <x:c r="H76" s="16" t="n">
        <x:f>AVERAGE('Run Data'!$J$224:$J$226)</x:f>
        <x:v>392.977769</x:v>
      </x:c>
      <x:c r="I76" s="16" t="n">
        <x:f>STDEV.S('Run Data'!$J$224:$J$226)</x:f>
        <x:v>0</x:v>
      </x:c>
      <x:c r="J76" s="15" t="n">
        <x:f>MIN('Run Data'!$I$224:$I$226)</x:f>
        <x:v>3</x:v>
      </x:c>
      <x:c r="K76" s="16" t="n">
        <x:f>MINIFS('Run Data'!$J$224:$J$226,'Run Data'!$I$224:$I$226,J76)</x:f>
        <x:v>392.977769</x:v>
      </x:c>
      <x:c r="L76" s="15" t="n">
        <x:f>SUM('Run Data'!$H$224:$H$226)</x:f>
        <x:v>3</x:v>
      </x:c>
      <x:c r="M76" s="16" t="n">
        <x:f>AVERAGE('Run Data'!$K$224:$K$226)</x:f>
        <x:v>38.94874</x:v>
      </x:c>
      <x:c r="N76" s="15" t="n">
        <x:f>IF(G76+I76&gt;0,1,0)</x:f>
        <x:v>0</x:v>
      </x:c>
      <x:c r="O76" s="16" t="n">
        <x:f>AVERAGE('Run Data'!$AC$224:$AC$226)</x:f>
        <x:v>4</x:v>
      </x:c>
      <x:c r="P76" s="16" t="n">
        <x:f>AVERAGE('Run Data'!$AB$224:$AB$226)</x:f>
        <x:v>1.327451</x:v>
      </x:c>
      <x:c r="Q76" s="17" t="n">
        <x:f>AVERAGE('Run Data'!$R$224:$R$226)</x:f>
        <x:v>0.8676666666666667</x:v>
      </x:c>
    </x:row>
    <x:row r="77">
      <x:c r="A77" t="str">
        <x:v>No_Local_Search</x:v>
      </x:c>
      <x:c r="B77" t="str">
        <x:v>c206C5</x:v>
      </x:c>
      <x:c r="C77" t="str">
        <x:v>C</x:v>
      </x:c>
      <x:c r="D77" s="15" t="n">
        <x:v>5</x:v>
      </x:c>
      <x:c r="E77" s="15" t="n">
        <x:f>COUNT('Run Data'!$E$227:$E$229)</x:f>
        <x:v>3</x:v>
      </x:c>
      <x:c r="F77" s="16" t="n">
        <x:f>AVERAGE('Run Data'!$I$227:$I$229)</x:f>
        <x:v>1</x:v>
      </x:c>
      <x:c r="G77" s="16" t="n">
        <x:f>STDEV.S('Run Data'!$I$227:$I$229)</x:f>
        <x:v>0</x:v>
      </x:c>
      <x:c r="H77" s="16" t="n">
        <x:f>AVERAGE('Run Data'!$J$227:$J$229)</x:f>
        <x:v>242.555652</x:v>
      </x:c>
      <x:c r="I77" s="16" t="n">
        <x:f>STDEV.S('Run Data'!$J$227:$J$229)</x:f>
        <x:v>0</x:v>
      </x:c>
      <x:c r="J77" s="15" t="n">
        <x:f>MIN('Run Data'!$I$227:$I$229)</x:f>
        <x:v>1</x:v>
      </x:c>
      <x:c r="K77" s="16" t="n">
        <x:f>MINIFS('Run Data'!$J$227:$J$229,'Run Data'!$I$227:$I$229,J77)</x:f>
        <x:v>242.555652</x:v>
      </x:c>
      <x:c r="L77" s="15" t="n">
        <x:f>SUM('Run Data'!$H$227:$H$229)</x:f>
        <x:v>3</x:v>
      </x:c>
      <x:c r="M77" s="16" t="n">
        <x:f>AVERAGE('Run Data'!$K$227:$K$229)</x:f>
        <x:v>0.9581296666666667</x:v>
      </x:c>
      <x:c r="N77" s="15" t="n">
        <x:f>IF(G77+I77&gt;0,1,0)</x:f>
        <x:v>0</x:v>
      </x:c>
      <x:c r="O77" s="16" t="n">
        <x:f>AVERAGE('Run Data'!$AC$227:$AC$229)</x:f>
        <x:v>3</x:v>
      </x:c>
      <x:c r="P77" s="16" t="n">
        <x:f>AVERAGE('Run Data'!$AB$227:$AB$229)</x:f>
        <x:v>1.592269</x:v>
      </x:c>
      <x:c r="Q77" s="17" t="n">
        <x:f>AVERAGE('Run Data'!$R$227:$R$229)</x:f>
        <x:v>1</x:v>
      </x:c>
    </x:row>
    <x:row r="78">
      <x:c r="A78" t="str">
        <x:v>No_Local_Search</x:v>
      </x:c>
      <x:c r="B78" t="str">
        <x:v>c202C10</x:v>
      </x:c>
      <x:c r="C78" t="str">
        <x:v>C</x:v>
      </x:c>
      <x:c r="D78" s="15" t="n">
        <x:v>10</x:v>
      </x:c>
      <x:c r="E78" s="15" t="n">
        <x:f>COUNT('Run Data'!$E$230:$E$232)</x:f>
        <x:v>3</x:v>
      </x:c>
      <x:c r="F78" s="16" t="n">
        <x:f>AVERAGE('Run Data'!$I$230:$I$232)</x:f>
        <x:v>1</x:v>
      </x:c>
      <x:c r="G78" s="16" t="n">
        <x:f>STDEV.S('Run Data'!$I$230:$I$232)</x:f>
        <x:v>0</x:v>
      </x:c>
      <x:c r="H78" s="16" t="n">
        <x:f>AVERAGE('Run Data'!$J$230:$J$232)</x:f>
        <x:v>304.058332</x:v>
      </x:c>
      <x:c r="I78" s="16" t="n">
        <x:f>STDEV.S('Run Data'!$J$230:$J$232)</x:f>
        <x:v>0</x:v>
      </x:c>
      <x:c r="J78" s="15" t="n">
        <x:f>MIN('Run Data'!$I$230:$I$232)</x:f>
        <x:v>1</x:v>
      </x:c>
      <x:c r="K78" s="16" t="n">
        <x:f>MINIFS('Run Data'!$J$230:$J$232,'Run Data'!$I$230:$I$232,J78)</x:f>
        <x:v>304.058332</x:v>
      </x:c>
      <x:c r="L78" s="15" t="n">
        <x:f>SUM('Run Data'!$H$230:$H$232)</x:f>
        <x:v>3</x:v>
      </x:c>
      <x:c r="M78" s="16" t="n">
        <x:f>AVERAGE('Run Data'!$K$230:$K$232)</x:f>
        <x:v>13.689039000000001</x:v>
      </x:c>
      <x:c r="N78" s="15" t="n">
        <x:f>IF(G78+I78&gt;0,1,0)</x:f>
        <x:v>0</x:v>
      </x:c>
      <x:c r="O78" s="16" t="n">
        <x:f>AVERAGE('Run Data'!$AC$230:$AC$232)</x:f>
        <x:v>5</x:v>
      </x:c>
      <x:c r="P78" s="16" t="n">
        <x:f>AVERAGE('Run Data'!$AB$230:$AB$232)</x:f>
        <x:v>9.470097</x:v>
      </x:c>
      <x:c r="Q78" s="17" t="n">
        <x:f>AVERAGE('Run Data'!$R$230:$R$232)</x:f>
        <x:v>0.999</x:v>
      </x:c>
    </x:row>
    <x:row r="79">
      <x:c r="A79" t="str">
        <x:v>No_Local_Search</x:v>
      </x:c>
      <x:c r="B79" t="str">
        <x:v>c202C15</x:v>
      </x:c>
      <x:c r="C79" t="str">
        <x:v>C</x:v>
      </x:c>
      <x:c r="D79" s="15" t="n">
        <x:v>15</x:v>
      </x:c>
      <x:c r="E79" s="15" t="n">
        <x:f>COUNT('Run Data'!$E$233:$E$235)</x:f>
        <x:v>3</x:v>
      </x:c>
      <x:c r="F79" s="16" t="n">
        <x:f>AVERAGE('Run Data'!$I$233:$I$235)</x:f>
        <x:v>3</x:v>
      </x:c>
      <x:c r="G79" s="16" t="n">
        <x:f>STDEV.S('Run Data'!$I$233:$I$235)</x:f>
        <x:v>0</x:v>
      </x:c>
      <x:c r="H79" s="16" t="n">
        <x:f>AVERAGE('Run Data'!$J$233:$J$235)</x:f>
        <x:v>376.789292</x:v>
      </x:c>
      <x:c r="I79" s="16" t="n">
        <x:f>STDEV.S('Run Data'!$J$233:$J$235)</x:f>
        <x:v>0</x:v>
      </x:c>
      <x:c r="J79" s="15" t="n">
        <x:f>MIN('Run Data'!$I$233:$I$235)</x:f>
        <x:v>3</x:v>
      </x:c>
      <x:c r="K79" s="16" t="n">
        <x:f>MINIFS('Run Data'!$J$233:$J$235,'Run Data'!$I$233:$I$235,J79)</x:f>
        <x:v>376.789292</x:v>
      </x:c>
      <x:c r="L79" s="15" t="n">
        <x:f>SUM('Run Data'!$H$233:$H$235)</x:f>
        <x:v>3</x:v>
      </x:c>
      <x:c r="M79" s="16" t="n">
        <x:f>AVERAGE('Run Data'!$K$233:$K$235)</x:f>
        <x:v>53.670290666666666</x:v>
      </x:c>
      <x:c r="N79" s="15" t="n">
        <x:f>IF(G79+I79&gt;0,1,0)</x:f>
        <x:v>0</x:v>
      </x:c>
      <x:c r="O79" s="16" t="n">
        <x:f>AVERAGE('Run Data'!$AC$233:$AC$235)</x:f>
        <x:v>4</x:v>
      </x:c>
      <x:c r="P79" s="16" t="n">
        <x:f>AVERAGE('Run Data'!$AB$233:$AB$235)</x:f>
        <x:v>2.561272</x:v>
      </x:c>
      <x:c r="Q79" s="17" t="n">
        <x:f>AVERAGE('Run Data'!$R$233:$R$235)</x:f>
        <x:v>0.9793333333333333</x:v>
      </x:c>
    </x:row>
    <x:row r="80">
      <x:c r="A80" t="str">
        <x:v>No_Local_Search</x:v>
      </x:c>
      <x:c r="B80" t="str">
        <x:v>r105C5</x:v>
      </x:c>
      <x:c r="C80" t="str">
        <x:v>R</x:v>
      </x:c>
      <x:c r="D80" s="15" t="n">
        <x:v>5</x:v>
      </x:c>
      <x:c r="E80" s="15" t="n">
        <x:f>COUNT('Run Data'!$E$236:$E$238)</x:f>
        <x:v>3</x:v>
      </x:c>
      <x:c r="F80" s="16" t="n">
        <x:f>AVERAGE('Run Data'!$I$236:$I$238)</x:f>
        <x:v>2</x:v>
      </x:c>
      <x:c r="G80" s="16" t="n">
        <x:f>STDEV.S('Run Data'!$I$236:$I$238)</x:f>
        <x:v>0</x:v>
      </x:c>
      <x:c r="H80" s="16" t="n">
        <x:f>AVERAGE('Run Data'!$J$236:$J$238)</x:f>
        <x:v>156.082069</x:v>
      </x:c>
      <x:c r="I80" s="16" t="n">
        <x:f>STDEV.S('Run Data'!$J$236:$J$238)</x:f>
        <x:v>0</x:v>
      </x:c>
      <x:c r="J80" s="15" t="n">
        <x:f>MIN('Run Data'!$I$236:$I$238)</x:f>
        <x:v>2</x:v>
      </x:c>
      <x:c r="K80" s="16" t="n">
        <x:f>MINIFS('Run Data'!$J$236:$J$238,'Run Data'!$I$236:$I$238,J80)</x:f>
        <x:v>156.082069</x:v>
      </x:c>
      <x:c r="L80" s="15" t="n">
        <x:f>SUM('Run Data'!$H$236:$H$238)</x:f>
        <x:v>3</x:v>
      </x:c>
      <x:c r="M80" s="16" t="n">
        <x:f>AVERAGE('Run Data'!$K$236:$K$238)</x:f>
        <x:v>0.47911466666666663</x:v>
      </x:c>
      <x:c r="N80" s="15" t="n">
        <x:f>IF(G80+I80&gt;0,1,0)</x:f>
        <x:v>0</x:v>
      </x:c>
      <x:c r="O80" s="16" t="n">
        <x:f>AVERAGE('Run Data'!$AC$236:$AC$238)</x:f>
        <x:v>1</x:v>
      </x:c>
      <x:c r="P80" s="16" t="n">
        <x:f>AVERAGE('Run Data'!$AB$236:$AB$238)</x:f>
        <x:v>2.82845</x:v>
      </x:c>
      <x:c r="Q80" s="17" t="n">
        <x:f>AVERAGE('Run Data'!$R$236:$R$238)</x:f>
        <x:v>1</x:v>
      </x:c>
    </x:row>
    <x:row r="81">
      <x:c r="A81" t="str">
        <x:v>No_Local_Search</x:v>
      </x:c>
      <x:c r="B81" t="str">
        <x:v>r103C10</x:v>
      </x:c>
      <x:c r="C81" t="str">
        <x:v>R</x:v>
      </x:c>
      <x:c r="D81" s="15" t="n">
        <x:v>10</x:v>
      </x:c>
      <x:c r="E81" s="15" t="n">
        <x:f>COUNT('Run Data'!$E$239:$E$241)</x:f>
        <x:v>3</x:v>
      </x:c>
      <x:c r="F81" s="16" t="n">
        <x:f>AVERAGE('Run Data'!$I$239:$I$241)</x:f>
        <x:v>2</x:v>
      </x:c>
      <x:c r="G81" s="16" t="n">
        <x:f>STDEV.S('Run Data'!$I$239:$I$241)</x:f>
        <x:v>0</x:v>
      </x:c>
      <x:c r="H81" s="16" t="n">
        <x:f>AVERAGE('Run Data'!$J$239:$J$241)</x:f>
        <x:v>207.051154</x:v>
      </x:c>
      <x:c r="I81" s="16" t="n">
        <x:f>STDEV.S('Run Data'!$J$239:$J$241)</x:f>
        <x:v>0</x:v>
      </x:c>
      <x:c r="J81" s="15" t="n">
        <x:f>MIN('Run Data'!$I$239:$I$241)</x:f>
        <x:v>2</x:v>
      </x:c>
      <x:c r="K81" s="16" t="n">
        <x:f>MINIFS('Run Data'!$J$239:$J$241,'Run Data'!$I$239:$I$241,J81)</x:f>
        <x:v>207.051154</x:v>
      </x:c>
      <x:c r="L81" s="15" t="n">
        <x:f>SUM('Run Data'!$H$239:$H$241)</x:f>
        <x:v>3</x:v>
      </x:c>
      <x:c r="M81" s="16" t="n">
        <x:f>AVERAGE('Run Data'!$K$239:$K$241)</x:f>
        <x:v>6.045871666666667</x:v>
      </x:c>
      <x:c r="N81" s="15" t="n">
        <x:f>IF(G81+I81&gt;0,1,0)</x:f>
        <x:v>0</x:v>
      </x:c>
      <x:c r="O81" s="16" t="n">
        <x:f>AVERAGE('Run Data'!$AC$239:$AC$241)</x:f>
        <x:v>3</x:v>
      </x:c>
      <x:c r="P81" s="16" t="n">
        <x:f>AVERAGE('Run Data'!$AB$239:$AB$241)</x:f>
        <x:v>0.425419</x:v>
      </x:c>
      <x:c r="Q81" s="17" t="n">
        <x:f>AVERAGE('Run Data'!$R$239:$R$241)</x:f>
        <x:v>0.9606666666666666</x:v>
      </x:c>
    </x:row>
    <x:row r="82">
      <x:c r="A82" t="str">
        <x:v>No_Local_Search</x:v>
      </x:c>
      <x:c r="B82" t="str">
        <x:v>r105C15</x:v>
      </x:c>
      <x:c r="C82" t="str">
        <x:v>R</x:v>
      </x:c>
      <x:c r="D82" s="15" t="n">
        <x:v>15</x:v>
      </x:c>
      <x:c r="E82" s="15" t="n">
        <x:f>COUNT('Run Data'!$E$242:$E$244)</x:f>
        <x:v>3</x:v>
      </x:c>
      <x:c r="F82" s="16" t="n">
        <x:f>AVERAGE('Run Data'!$I$242:$I$244)</x:f>
        <x:v>4</x:v>
      </x:c>
      <x:c r="G82" s="16" t="n">
        <x:f>STDEV.S('Run Data'!$I$242:$I$244)</x:f>
        <x:v>0</x:v>
      </x:c>
      <x:c r="H82" s="16" t="n">
        <x:f>AVERAGE('Run Data'!$J$242:$J$244)</x:f>
        <x:v>342.807565</x:v>
      </x:c>
      <x:c r="I82" s="16" t="n">
        <x:f>STDEV.S('Run Data'!$J$242:$J$244)</x:f>
        <x:v>11.525001987683455</x:v>
      </x:c>
      <x:c r="J82" s="15" t="n">
        <x:f>MIN('Run Data'!$I$242:$I$244)</x:f>
        <x:v>4</x:v>
      </x:c>
      <x:c r="K82" s="16" t="n">
        <x:f>MINIFS('Run Data'!$J$242:$J$244,'Run Data'!$I$242:$I$244,J82)</x:f>
        <x:v>336.153602</x:v>
      </x:c>
      <x:c r="L82" s="15" t="n">
        <x:f>SUM('Run Data'!$H$242:$H$244)</x:f>
        <x:v>3</x:v>
      </x:c>
      <x:c r="M82" s="16" t="n">
        <x:f>AVERAGE('Run Data'!$K$242:$K$244)</x:f>
        <x:v>31.004615</x:v>
      </x:c>
      <x:c r="N82" s="15" t="n">
        <x:f>IF(G82+I82&gt;0,1,0)</x:f>
        <x:v>1</x:v>
      </x:c>
      <x:c r="O82" s="16" t="n">
        <x:f>AVERAGE('Run Data'!$AC$242:$AC$244)</x:f>
        <x:v>4</x:v>
      </x:c>
      <x:c r="P82" s="16" t="n">
        <x:f>AVERAGE('Run Data'!$AB$242:$AB$244)</x:f>
        <x:v>1.2495776666666665</x:v>
      </x:c>
      <x:c r="Q82" s="17" t="n">
        <x:f>AVERAGE('Run Data'!$R$242:$R$244)</x:f>
        <x:v>0.9119999999999999</x:v>
      </x:c>
    </x:row>
    <x:row r="83">
      <x:c r="A83" t="str">
        <x:v>No_Local_Search</x:v>
      </x:c>
      <x:c r="B83" t="str">
        <x:v>r202C5</x:v>
      </x:c>
      <x:c r="C83" t="str">
        <x:v>R</x:v>
      </x:c>
      <x:c r="D83" s="15" t="n">
        <x:v>5</x:v>
      </x:c>
      <x:c r="E83" s="15" t="n">
        <x:f>COUNT('Run Data'!$E$245:$E$247)</x:f>
        <x:v>3</x:v>
      </x:c>
      <x:c r="F83" s="16" t="n">
        <x:f>AVERAGE('Run Data'!$I$245:$I$247)</x:f>
        <x:v>1</x:v>
      </x:c>
      <x:c r="G83" s="16" t="n">
        <x:f>STDEV.S('Run Data'!$I$245:$I$247)</x:f>
        <x:v>0</x:v>
      </x:c>
      <x:c r="H83" s="16" t="n">
        <x:f>AVERAGE('Run Data'!$J$245:$J$247)</x:f>
        <x:v>128.777139</x:v>
      </x:c>
      <x:c r="I83" s="16" t="n">
        <x:f>STDEV.S('Run Data'!$J$245:$J$247)</x:f>
        <x:v>0</x:v>
      </x:c>
      <x:c r="J83" s="15" t="n">
        <x:f>MIN('Run Data'!$I$245:$I$247)</x:f>
        <x:v>1</x:v>
      </x:c>
      <x:c r="K83" s="16" t="n">
        <x:f>MINIFS('Run Data'!$J$245:$J$247,'Run Data'!$I$245:$I$247,J83)</x:f>
        <x:v>128.777139</x:v>
      </x:c>
      <x:c r="L83" s="15" t="n">
        <x:f>SUM('Run Data'!$H$245:$H$247)</x:f>
        <x:v>3</x:v>
      </x:c>
      <x:c r="M83" s="16" t="n">
        <x:f>AVERAGE('Run Data'!$K$245:$K$247)</x:f>
        <x:v>1.141434</x:v>
      </x:c>
      <x:c r="N83" s="15" t="n">
        <x:f>IF(G83+I83&gt;0,1,0)</x:f>
        <x:v>0</x:v>
      </x:c>
      <x:c r="O83" s="16" t="n">
        <x:f>AVERAGE('Run Data'!$AC$245:$AC$247)</x:f>
        <x:v>2</x:v>
      </x:c>
      <x:c r="P83" s="16" t="n">
        <x:f>AVERAGE('Run Data'!$AB$245:$AB$247)</x:f>
        <x:v>0.273651</x:v>
      </x:c>
      <x:c r="Q83" s="17" t="n">
        <x:f>AVERAGE('Run Data'!$R$245:$R$247)</x:f>
        <x:v>1</x:v>
      </x:c>
    </x:row>
    <x:row r="84">
      <x:c r="A84" t="str">
        <x:v>No_Local_Search</x:v>
      </x:c>
      <x:c r="B84" t="str">
        <x:v>r201C10</x:v>
      </x:c>
      <x:c r="C84" t="str">
        <x:v>R</x:v>
      </x:c>
      <x:c r="D84" s="15" t="n">
        <x:v>10</x:v>
      </x:c>
      <x:c r="E84" s="15" t="n">
        <x:f>COUNT('Run Data'!$E$248:$E$250)</x:f>
        <x:v>3</x:v>
      </x:c>
      <x:c r="F84" s="16" t="n">
        <x:f>AVERAGE('Run Data'!$I$248:$I$250)</x:f>
        <x:v>1.3333333333333333</x:v>
      </x:c>
      <x:c r="G84" s="16" t="n">
        <x:f>STDEV.S('Run Data'!$I$248:$I$250)</x:f>
        <x:v>0.5773502691896257</x:v>
      </x:c>
      <x:c r="H84" s="16" t="n">
        <x:f>AVERAGE('Run Data'!$J$248:$J$250)</x:f>
        <x:v>237.12234433333333</x:v>
      </x:c>
      <x:c r="I84" s="16" t="n">
        <x:f>STDEV.S('Run Data'!$J$248:$J$250)</x:f>
        <x:v>7.592508223507784</x:v>
      </x:c>
      <x:c r="J84" s="15" t="n">
        <x:f>MIN('Run Data'!$I$248:$I$250)</x:f>
        <x:v>1</x:v>
      </x:c>
      <x:c r="K84" s="16" t="n">
        <x:f>MINIFS('Run Data'!$J$248:$J$250,'Run Data'!$I$248:$I$250,J84)</x:f>
        <x:v>241.505881</x:v>
      </x:c>
      <x:c r="L84" s="15" t="n">
        <x:f>SUM('Run Data'!$H$248:$H$250)</x:f>
        <x:v>3</x:v>
      </x:c>
      <x:c r="M84" s="16" t="n">
        <x:f>AVERAGE('Run Data'!$K$248:$K$250)</x:f>
        <x:v>10.86893</x:v>
      </x:c>
      <x:c r="N84" s="15" t="n">
        <x:f>IF(G84+I84&gt;0,1,0)</x:f>
        <x:v>1</x:v>
      </x:c>
      <x:c r="O84" s="16" t="n">
        <x:f>AVERAGE('Run Data'!$AC$248:$AC$250)</x:f>
        <x:v>4.333333333333333</x:v>
      </x:c>
      <x:c r="P84" s="16" t="n">
        <x:f>AVERAGE('Run Data'!$AB$248:$AB$250)</x:f>
        <x:v>1.5165723333333334</x:v>
      </x:c>
      <x:c r="Q84" s="17" t="n">
        <x:f>AVERAGE('Run Data'!$R$248:$R$250)</x:f>
        <x:v>0.9723333333333333</x:v>
      </x:c>
    </x:row>
    <x:row r="85">
      <x:c r="A85" t="str">
        <x:v>No_Local_Search</x:v>
      </x:c>
      <x:c r="B85" t="str">
        <x:v>r202C15</x:v>
      </x:c>
      <x:c r="C85" t="str">
        <x:v>R</x:v>
      </x:c>
      <x:c r="D85" s="15" t="n">
        <x:v>15</x:v>
      </x:c>
      <x:c r="E85" s="15" t="n">
        <x:f>COUNT('Run Data'!$E$251:$E$253)</x:f>
        <x:v>3</x:v>
      </x:c>
      <x:c r="F85" s="16" t="n">
        <x:f>AVERAGE('Run Data'!$I$251:$I$253)</x:f>
        <x:v>2</x:v>
      </x:c>
      <x:c r="G85" s="16" t="n">
        <x:f>STDEV.S('Run Data'!$I$251:$I$253)</x:f>
        <x:v>0</x:v>
      </x:c>
      <x:c r="H85" s="16" t="n">
        <x:f>AVERAGE('Run Data'!$J$251:$J$253)</x:f>
        <x:v>382.650844</x:v>
      </x:c>
      <x:c r="I85" s="16" t="n">
        <x:f>STDEV.S('Run Data'!$J$251:$J$253)</x:f>
        <x:v>21.34411925934794</x:v>
      </x:c>
      <x:c r="J85" s="15" t="n">
        <x:f>MIN('Run Data'!$I$251:$I$253)</x:f>
        <x:v>2</x:v>
      </x:c>
      <x:c r="K85" s="16" t="n">
        <x:f>MINIFS('Run Data'!$J$251:$J$253,'Run Data'!$I$251:$I$253,J85)</x:f>
        <x:v>358.004778</x:v>
      </x:c>
      <x:c r="L85" s="15" t="n">
        <x:f>SUM('Run Data'!$H$251:$H$253)</x:f>
        <x:v>3</x:v>
      </x:c>
      <x:c r="M85" s="16" t="n">
        <x:f>AVERAGE('Run Data'!$K$251:$K$253)</x:f>
        <x:v>121.76686666666667</x:v>
      </x:c>
      <x:c r="N85" s="15" t="n">
        <x:f>IF(G85+I85&gt;0,1,0)</x:f>
        <x:v>1</x:v>
      </x:c>
      <x:c r="O85" s="16" t="n">
        <x:f>AVERAGE('Run Data'!$AC$251:$AC$253)</x:f>
        <x:v>6</x:v>
      </x:c>
      <x:c r="P85" s="16" t="n">
        <x:f>AVERAGE('Run Data'!$AB$251:$AB$253)</x:f>
        <x:v>2.718822</x:v>
      </x:c>
      <x:c r="Q85" s="17" t="n">
        <x:f>AVERAGE('Run Data'!$R$251:$R$253)</x:f>
        <x:v>0.8946666666666667</x:v>
      </x:c>
    </x:row>
    <x:row r="86">
      <x:c r="A86" t="str">
        <x:v>No_Local_Search</x:v>
      </x:c>
      <x:c r="B86" t="str">
        <x:v>rc105C5</x:v>
      </x:c>
      <x:c r="C86" t="str">
        <x:v>RC</x:v>
      </x:c>
      <x:c r="D86" s="15" t="n">
        <x:v>5</x:v>
      </x:c>
      <x:c r="E86" s="15" t="n">
        <x:f>COUNT('Run Data'!$E$254:$E$256)</x:f>
        <x:v>3</x:v>
      </x:c>
      <x:c r="F86" s="16" t="n">
        <x:f>AVERAGE('Run Data'!$I$254:$I$256)</x:f>
        <x:v>3</x:v>
      </x:c>
      <x:c r="G86" s="16" t="n">
        <x:f>STDEV.S('Run Data'!$I$254:$I$256)</x:f>
        <x:v>0</x:v>
      </x:c>
      <x:c r="H86" s="16" t="n">
        <x:f>AVERAGE('Run Data'!$J$254:$J$256)</x:f>
        <x:v>238.052232</x:v>
      </x:c>
      <x:c r="I86" s="16" t="n">
        <x:f>STDEV.S('Run Data'!$J$254:$J$256)</x:f>
        <x:v>0</x:v>
      </x:c>
      <x:c r="J86" s="15" t="n">
        <x:f>MIN('Run Data'!$I$254:$I$256)</x:f>
        <x:v>3</x:v>
      </x:c>
      <x:c r="K86" s="16" t="n">
        <x:f>MINIFS('Run Data'!$J$254:$J$256,'Run Data'!$I$254:$I$256,J86)</x:f>
        <x:v>238.052232</x:v>
      </x:c>
      <x:c r="L86" s="15" t="n">
        <x:f>SUM('Run Data'!$H$254:$H$256)</x:f>
        <x:v>3</x:v>
      </x:c>
      <x:c r="M86" s="16" t="n">
        <x:f>AVERAGE('Run Data'!$K$254:$K$256)</x:f>
        <x:v>0.5701493333333333</x:v>
      </x:c>
      <x:c r="N86" s="15" t="n">
        <x:f>IF(G86+I86&gt;0,1,0)</x:f>
        <x:v>0</x:v>
      </x:c>
      <x:c r="O86" s="16" t="n">
        <x:f>AVERAGE('Run Data'!$AC$254:$AC$256)</x:f>
        <x:v>1</x:v>
      </x:c>
      <x:c r="P86" s="16" t="n">
        <x:f>AVERAGE('Run Data'!$AB$254:$AB$256)</x:f>
        <x:v>7.75</x:v>
      </x:c>
      <x:c r="Q86" s="17" t="n">
        <x:f>AVERAGE('Run Data'!$R$254:$R$256)</x:f>
        <x:v>1</x:v>
      </x:c>
    </x:row>
    <x:row r="87">
      <x:c r="A87" t="str">
        <x:v>No_Local_Search</x:v>
      </x:c>
      <x:c r="B87" t="str">
        <x:v>rc102C10</x:v>
      </x:c>
      <x:c r="C87" t="str">
        <x:v>RC</x:v>
      </x:c>
      <x:c r="D87" s="15" t="n">
        <x:v>10</x:v>
      </x:c>
      <x:c r="E87" s="15" t="n">
        <x:f>COUNT('Run Data'!$E$257:$E$259)</x:f>
        <x:v>3</x:v>
      </x:c>
      <x:c r="F87" s="16" t="n">
        <x:f>AVERAGE('Run Data'!$I$257:$I$259)</x:f>
        <x:v>4</x:v>
      </x:c>
      <x:c r="G87" s="16" t="n">
        <x:f>STDEV.S('Run Data'!$I$257:$I$259)</x:f>
        <x:v>0</x:v>
      </x:c>
      <x:c r="H87" s="16" t="n">
        <x:f>AVERAGE('Run Data'!$J$257:$J$259)</x:f>
        <x:v>423.510182</x:v>
      </x:c>
      <x:c r="I87" s="16" t="n">
        <x:f>STDEV.S('Run Data'!$J$257:$J$259)</x:f>
        <x:v>0</x:v>
      </x:c>
      <x:c r="J87" s="15" t="n">
        <x:f>MIN('Run Data'!$I$257:$I$259)</x:f>
        <x:v>4</x:v>
      </x:c>
      <x:c r="K87" s="16" t="n">
        <x:f>MINIFS('Run Data'!$J$257:$J$259,'Run Data'!$I$257:$I$259,J87)</x:f>
        <x:v>423.510182</x:v>
      </x:c>
      <x:c r="L87" s="15" t="n">
        <x:f>SUM('Run Data'!$H$257:$H$259)</x:f>
        <x:v>3</x:v>
      </x:c>
      <x:c r="M87" s="16" t="n">
        <x:f>AVERAGE('Run Data'!$K$257:$K$259)</x:f>
        <x:v>4.824132666666666</x:v>
      </x:c>
      <x:c r="N87" s="15" t="n">
        <x:f>IF(G87+I87&gt;0,1,0)</x:f>
        <x:v>0</x:v>
      </x:c>
      <x:c r="O87" s="16" t="n">
        <x:f>AVERAGE('Run Data'!$AC$257:$AC$259)</x:f>
        <x:v>3</x:v>
      </x:c>
      <x:c r="P87" s="16" t="n">
        <x:f>AVERAGE('Run Data'!$AB$257:$AB$259)</x:f>
        <x:v>0.51776</x:v>
      </x:c>
      <x:c r="Q87" s="17" t="n">
        <x:f>AVERAGE('Run Data'!$R$257:$R$259)</x:f>
        <x:v>0.975</x:v>
      </x:c>
    </x:row>
    <x:row r="88">
      <x:c r="A88" t="str">
        <x:v>No_Local_Search</x:v>
      </x:c>
      <x:c r="B88" t="str">
        <x:v>rc103C15</x:v>
      </x:c>
      <x:c r="C88" t="str">
        <x:v>RC</x:v>
      </x:c>
      <x:c r="D88" s="15" t="n">
        <x:v>15</x:v>
      </x:c>
      <x:c r="E88" s="15" t="n">
        <x:f>COUNT('Run Data'!$E$260:$E$262)</x:f>
        <x:v>3</x:v>
      </x:c>
      <x:c r="F88" s="16" t="n">
        <x:f>AVERAGE('Run Data'!$I$260:$I$262)</x:f>
        <x:v>4</x:v>
      </x:c>
      <x:c r="G88" s="16" t="n">
        <x:f>STDEV.S('Run Data'!$I$260:$I$262)</x:f>
        <x:v>0</x:v>
      </x:c>
      <x:c r="H88" s="16" t="n">
        <x:f>AVERAGE('Run Data'!$J$260:$J$262)</x:f>
        <x:v>397.66985700000004</x:v>
      </x:c>
      <x:c r="I88" s="16" t="n">
        <x:f>STDEV.S('Run Data'!$J$260:$J$262)</x:f>
        <x:v>6.961868572213853e-14</x:v>
      </x:c>
      <x:c r="J88" s="15" t="n">
        <x:f>MIN('Run Data'!$I$260:$I$262)</x:f>
        <x:v>4</x:v>
      </x:c>
      <x:c r="K88" s="16" t="n">
        <x:f>MINIFS('Run Data'!$J$260:$J$262,'Run Data'!$I$260:$I$262,J88)</x:f>
        <x:v>397.669857</x:v>
      </x:c>
      <x:c r="L88" s="15" t="n">
        <x:f>SUM('Run Data'!$H$260:$H$262)</x:f>
        <x:v>3</x:v>
      </x:c>
      <x:c r="M88" s="16" t="n">
        <x:f>AVERAGE('Run Data'!$K$260:$K$262)</x:f>
        <x:v>28.57971333333333</x:v>
      </x:c>
      <x:c r="N88" s="15" t="n">
        <x:f>IF(G88+I88&gt;0,1,0)</x:f>
        <x:v>0</x:v>
      </x:c>
      <x:c r="O88" s="16" t="n">
        <x:f>AVERAGE('Run Data'!$AC$260:$AC$262)</x:f>
        <x:v>4</x:v>
      </x:c>
      <x:c r="P88" s="16" t="n">
        <x:f>AVERAGE('Run Data'!$AB$260:$AB$262)</x:f>
        <x:v>9.161259</x:v>
      </x:c>
      <x:c r="Q88" s="17" t="n">
        <x:f>AVERAGE('Run Data'!$R$260:$R$262)</x:f>
        <x:v>0.8473333333333333</x:v>
      </x:c>
    </x:row>
    <x:row r="89">
      <x:c r="A89" t="str">
        <x:v>No_Local_Search</x:v>
      </x:c>
      <x:c r="B89" t="str">
        <x:v>rc204C5</x:v>
      </x:c>
      <x:c r="C89" t="str">
        <x:v>RC</x:v>
      </x:c>
      <x:c r="D89" s="15" t="n">
        <x:v>5</x:v>
      </x:c>
      <x:c r="E89" s="15" t="n">
        <x:f>COUNT('Run Data'!$E$263:$E$265)</x:f>
        <x:v>3</x:v>
      </x:c>
      <x:c r="F89" s="16" t="n">
        <x:f>AVERAGE('Run Data'!$I$263:$I$265)</x:f>
        <x:v>1</x:v>
      </x:c>
      <x:c r="G89" s="16" t="n">
        <x:f>STDEV.S('Run Data'!$I$263:$I$265)</x:f>
        <x:v>0</x:v>
      </x:c>
      <x:c r="H89" s="16" t="n">
        <x:f>AVERAGE('Run Data'!$J$263:$J$265)</x:f>
        <x:v>185.444295</x:v>
      </x:c>
      <x:c r="I89" s="16" t="n">
        <x:f>STDEV.S('Run Data'!$J$263:$J$265)</x:f>
        <x:v>0</x:v>
      </x:c>
      <x:c r="J89" s="15" t="n">
        <x:f>MIN('Run Data'!$I$263:$I$265)</x:f>
        <x:v>1</x:v>
      </x:c>
      <x:c r="K89" s="16" t="n">
        <x:f>MINIFS('Run Data'!$J$263:$J$265,'Run Data'!$I$263:$I$265,J89)</x:f>
        <x:v>185.444295</x:v>
      </x:c>
      <x:c r="L89" s="15" t="n">
        <x:f>SUM('Run Data'!$H$263:$H$265)</x:f>
        <x:v>3</x:v>
      </x:c>
      <x:c r="M89" s="16" t="n">
        <x:f>AVERAGE('Run Data'!$K$263:$K$265)</x:f>
        <x:v>2.5084363333333335</x:v>
      </x:c>
      <x:c r="N89" s="15" t="n">
        <x:f>IF(G89+I89&gt;0,1,0)</x:f>
        <x:v>0</x:v>
      </x:c>
      <x:c r="O89" s="16" t="n">
        <x:f>AVERAGE('Run Data'!$AC$263:$AC$265)</x:f>
        <x:v>3</x:v>
      </x:c>
      <x:c r="P89" s="16" t="n">
        <x:f>AVERAGE('Run Data'!$AB$263:$AB$265)</x:f>
        <x:v>5.638974</x:v>
      </x:c>
      <x:c r="Q89" s="17" t="n">
        <x:f>AVERAGE('Run Data'!$R$263:$R$265)</x:f>
        <x:v>1</x:v>
      </x:c>
    </x:row>
    <x:row r="90">
      <x:c r="A90" t="str">
        <x:v>No_Local_Search</x:v>
      </x:c>
      <x:c r="B90" t="str">
        <x:v>rc201C10</x:v>
      </x:c>
      <x:c r="C90" t="str">
        <x:v>RC</x:v>
      </x:c>
      <x:c r="D90" s="15" t="n">
        <x:v>10</x:v>
      </x:c>
      <x:c r="E90" s="15" t="n">
        <x:f>COUNT('Run Data'!$E$266:$E$268)</x:f>
        <x:v>3</x:v>
      </x:c>
      <x:c r="F90" s="16" t="n">
        <x:f>AVERAGE('Run Data'!$I$266:$I$268)</x:f>
        <x:v>1</x:v>
      </x:c>
      <x:c r="G90" s="16" t="n">
        <x:f>STDEV.S('Run Data'!$I$266:$I$268)</x:f>
        <x:v>0</x:v>
      </x:c>
      <x:c r="H90" s="16" t="n">
        <x:f>AVERAGE('Run Data'!$J$266:$J$268)</x:f>
        <x:v>412.8613950000001</x:v>
      </x:c>
      <x:c r="I90" s="16" t="n">
        <x:f>STDEV.S('Run Data'!$J$266:$J$268)</x:f>
        <x:v>6.961868572213853e-14</x:v>
      </x:c>
      <x:c r="J90" s="15" t="n">
        <x:f>MIN('Run Data'!$I$266:$I$268)</x:f>
        <x:v>1</x:v>
      </x:c>
      <x:c r="K90" s="16" t="n">
        <x:f>MINIFS('Run Data'!$J$266:$J$268,'Run Data'!$I$266:$I$268,J90)</x:f>
        <x:v>412.861395</x:v>
      </x:c>
      <x:c r="L90" s="15" t="n">
        <x:f>SUM('Run Data'!$H$266:$H$268)</x:f>
        <x:v>3</x:v>
      </x:c>
      <x:c r="M90" s="16" t="n">
        <x:f>AVERAGE('Run Data'!$K$266:$K$268)</x:f>
        <x:v>11.939082666666666</x:v>
      </x:c>
      <x:c r="N90" s="15" t="n">
        <x:f>IF(G90+I90&gt;0,1,0)</x:f>
        <x:v>0</x:v>
      </x:c>
      <x:c r="O90" s="16" t="n">
        <x:f>AVERAGE('Run Data'!$AC$266:$AC$268)</x:f>
        <x:v>6</x:v>
      </x:c>
      <x:c r="P90" s="16" t="n">
        <x:f>AVERAGE('Run Data'!$AB$266:$AB$268)</x:f>
        <x:v>0.919251</x:v>
      </x:c>
      <x:c r="Q90" s="17" t="n">
        <x:f>AVERAGE('Run Data'!$R$266:$R$268)</x:f>
        <x:v>0.993</x:v>
      </x:c>
    </x:row>
    <x:row r="91">
      <x:c r="A91" t="str">
        <x:v>No_Local_Search</x:v>
      </x:c>
      <x:c r="B91" t="str">
        <x:v>rc202C15</x:v>
      </x:c>
      <x:c r="C91" t="str">
        <x:v>RC</x:v>
      </x:c>
      <x:c r="D91" s="15" t="n">
        <x:v>15</x:v>
      </x:c>
      <x:c r="E91" s="15" t="n">
        <x:f>COUNT('Run Data'!$E$269:$E$271)</x:f>
        <x:v>3</x:v>
      </x:c>
      <x:c r="F91" s="16" t="n">
        <x:f>AVERAGE('Run Data'!$I$269:$I$271)</x:f>
        <x:v>2</x:v>
      </x:c>
      <x:c r="G91" s="16" t="n">
        <x:f>STDEV.S('Run Data'!$I$269:$I$271)</x:f>
        <x:v>0</x:v>
      </x:c>
      <x:c r="H91" s="16" t="n">
        <x:f>AVERAGE('Run Data'!$J$269:$J$271)</x:f>
        <x:v>415.561197</x:v>
      </x:c>
      <x:c r="I91" s="16" t="n">
        <x:f>STDEV.S('Run Data'!$J$269:$J$271)</x:f>
        <x:v>36.67454425841025</x:v>
      </x:c>
      <x:c r="J91" s="15" t="n">
        <x:f>MIN('Run Data'!$I$269:$I$271)</x:f>
        <x:v>2</x:v>
      </x:c>
      <x:c r="K91" s="16" t="n">
        <x:f>MINIFS('Run Data'!$J$269:$J$271,'Run Data'!$I$269:$I$271,J91)</x:f>
        <x:v>394.387139</x:v>
      </x:c>
      <x:c r="L91" s="15" t="n">
        <x:f>SUM('Run Data'!$H$269:$H$271)</x:f>
        <x:v>3</x:v>
      </x:c>
      <x:c r="M91" s="16" t="n">
        <x:f>AVERAGE('Run Data'!$K$269:$K$271)</x:f>
        <x:v>70.269627</x:v>
      </x:c>
      <x:c r="N91" s="15" t="n">
        <x:f>IF(G91+I91&gt;0,1,0)</x:f>
        <x:v>1</x:v>
      </x:c>
      <x:c r="O91" s="16" t="n">
        <x:f>AVERAGE('Run Data'!$AC$269:$AC$271)</x:f>
        <x:v>6</x:v>
      </x:c>
      <x:c r="P91" s="16" t="n">
        <x:f>AVERAGE('Run Data'!$AB$269:$AB$271)</x:f>
        <x:v>5.2188</x:v>
      </x:c>
      <x:c r="Q91" s="17" t="n">
        <x:f>AVERAGE('Run Data'!$R$269:$R$271)</x:f>
        <x:v>0.7693333333333333</x:v>
      </x:c>
    </x:row>
  </x:sheetData>
  <x:pageMargins left="0.7" right="0.7" top="0.75" bottom="0.75" header="0.3" footer="0.3"/>
  <x:tableParts count="1">
    <x:tablePart xmlns:r="http://schemas.openxmlformats.org/officeDocument/2006/relationships" r:id="Ra1ca051743e94a4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8" customHeight="1">
      <x:c r="A1" s="10" t="str">
        <x:v>Variant</x:v>
      </x:c>
      <x:c r="B1" s="10" t="str">
        <x:v>Customers</x:v>
      </x:c>
      <x:c r="C1" s="10" t="str">
        <x:v>Runs</x:v>
      </x:c>
      <x:c r="D1" s="10" t="str">
        <x:v>Feasible rate</x:v>
      </x:c>
      <x:c r="E1" s="10" t="str">
        <x:v>Avg vehicles</x:v>
      </x:c>
      <x:c r="F1" s="10" t="str">
        <x:v>Avg distance*</x:v>
      </x:c>
      <x:c r="G1" s="10" t="str">
        <x:v>Avg runtime (s)</x:v>
      </x:c>
      <x:c r="H1" s="10" t="str">
        <x:v>Avg station visits</x:v>
      </x:c>
      <x:c r="I1" s="10" t="str">
        <x:v>Avg neutral rate</x:v>
      </x:c>
    </x:row>
    <x:row r="2">
      <x:c r="A2" t="str">
        <x:v>ALNS_VRPTW</x:v>
      </x:c>
      <x:c r="B2" s="15" t="n">
        <x:v>5</x:v>
      </x:c>
      <x:c r="C2" s="15" t="n">
        <x:f>COUNTIFS('Run Data'!$B$2:$B$271,A2,'Run Data'!$G$2:$G$271,B2)</x:f>
        <x:v>18</x:v>
      </x:c>
      <x:c r="D2" s="17" t="n">
        <x:f>SUMIFS('Run Data'!$H$2:$H$271,'Run Data'!$B$2:$B$271,A2,'Run Data'!$G$2:$G$271,B2)/C2</x:f>
        <x:v>1</x:v>
      </x:c>
      <x:c r="E2" s="16" t="n">
        <x:f>AVERAGEIFS('Run Data'!$I$2:$I$271,'Run Data'!$B$2:$B$271,A2,'Run Data'!$G$2:$G$271,B2)</x:f>
        <x:v>1.5</x:v>
      </x:c>
      <x:c r="F2" s="16" t="n">
        <x:f>AVERAGEIFS('Run Data'!$J$2:$J$271,'Run Data'!$B$2:$B$271,A2,'Run Data'!$G$2:$G$271,B2)</x:f>
        <x:v>194.56708983333328</x:v>
      </x:c>
      <x:c r="G2" s="16" t="n">
        <x:f>AVERAGEIFS('Run Data'!$K$2:$K$271,'Run Data'!$B$2:$B$271,A2,'Run Data'!$G$2:$G$271,B2)</x:f>
        <x:v>0.3495624444444444</x:v>
      </x:c>
      <x:c r="H2" s="16" t="n">
        <x:f>AVERAGEIFS('Run Data'!$AC$2:$AC$271,'Run Data'!$B$2:$B$271,A2,'Run Data'!$G$2:$G$271,B2)</x:f>
        <x:v>0</x:v>
      </x:c>
      <x:c r="I2" s="17" t="n">
        <x:f>AVERAGEIFS('Run Data'!$R$2:$R$271,'Run Data'!$B$2:$B$271,A2,'Run Data'!$G$2:$G$271,B2)</x:f>
        <x:v>0.9996666666666667</x:v>
      </x:c>
    </x:row>
    <x:row r="3">
      <x:c r="A3" t="str">
        <x:v>ALNS_VRPTW</x:v>
      </x:c>
      <x:c r="B3" s="15" t="n">
        <x:v>10</x:v>
      </x:c>
      <x:c r="C3" s="15" t="n">
        <x:f>COUNTIFS('Run Data'!$B$2:$B$271,A3,'Run Data'!$G$2:$G$271,B3)</x:f>
        <x:v>18</x:v>
      </x:c>
      <x:c r="D3" s="17" t="n">
        <x:f>SUMIFS('Run Data'!$H$2:$H$271,'Run Data'!$B$2:$B$271,A3,'Run Data'!$G$2:$G$271,B3)/C3</x:f>
        <x:v>1</x:v>
      </x:c>
      <x:c r="E3" s="16" t="n">
        <x:f>AVERAGEIFS('Run Data'!$I$2:$I$271,'Run Data'!$B$2:$B$271,A3,'Run Data'!$G$2:$G$271,B3)</x:f>
        <x:v>1.8333333333333333</x:v>
      </x:c>
      <x:c r="F3" s="16" t="n">
        <x:f>AVERAGEIFS('Run Data'!$J$2:$J$271,'Run Data'!$B$2:$B$271,A3,'Run Data'!$G$2:$G$271,B3)</x:f>
        <x:v>309.0788566666667</x:v>
      </x:c>
      <x:c r="G3" s="16" t="n">
        <x:f>AVERAGEIFS('Run Data'!$K$2:$K$271,'Run Data'!$B$2:$B$271,A3,'Run Data'!$G$2:$G$271,B3)</x:f>
        <x:v>1.5570248333333332</x:v>
      </x:c>
      <x:c r="H3" s="16" t="n">
        <x:f>AVERAGEIFS('Run Data'!$AC$2:$AC$271,'Run Data'!$B$2:$B$271,A3,'Run Data'!$G$2:$G$271,B3)</x:f>
        <x:v>0</x:v>
      </x:c>
      <x:c r="I3" s="17" t="n">
        <x:f>AVERAGEIFS('Run Data'!$R$2:$R$271,'Run Data'!$B$2:$B$271,A3,'Run Data'!$G$2:$G$271,B3)</x:f>
        <x:v>0.9670555555555556</x:v>
      </x:c>
    </x:row>
    <x:row r="4">
      <x:c r="A4" t="str">
        <x:v>ALNS_VRPTW</x:v>
      </x:c>
      <x:c r="B4" s="15" t="n">
        <x:v>15</x:v>
      </x:c>
      <x:c r="C4" s="15" t="n">
        <x:f>COUNTIFS('Run Data'!$B$2:$B$271,A4,'Run Data'!$G$2:$G$271,B4)</x:f>
        <x:v>18</x:v>
      </x:c>
      <x:c r="D4" s="17" t="n">
        <x:f>SUMIFS('Run Data'!$H$2:$H$271,'Run Data'!$B$2:$B$271,A4,'Run Data'!$G$2:$G$271,B4)/C4</x:f>
        <x:v>1</x:v>
      </x:c>
      <x:c r="E4" s="16" t="n">
        <x:f>AVERAGEIFS('Run Data'!$I$2:$I$271,'Run Data'!$B$2:$B$271,A4,'Run Data'!$G$2:$G$271,B4)</x:f>
        <x:v>1.8333333333333333</x:v>
      </x:c>
      <x:c r="F4" s="16" t="n">
        <x:f>AVERAGEIFS('Run Data'!$J$2:$J$271,'Run Data'!$B$2:$B$271,A4,'Run Data'!$G$2:$G$271,B4)</x:f>
        <x:v>451.2051763333334</x:v>
      </x:c>
      <x:c r="G4" s="16" t="n">
        <x:f>AVERAGEIFS('Run Data'!$K$2:$K$271,'Run Data'!$B$2:$B$271,A4,'Run Data'!$G$2:$G$271,B4)</x:f>
        <x:v>5.265011888888889</x:v>
      </x:c>
      <x:c r="H4" s="16" t="n">
        <x:f>AVERAGEIFS('Run Data'!$AC$2:$AC$271,'Run Data'!$B$2:$B$271,A4,'Run Data'!$G$2:$G$271,B4)</x:f>
        <x:v>0</x:v>
      </x:c>
      <x:c r="I4" s="17" t="n">
        <x:f>AVERAGEIFS('Run Data'!$R$2:$R$271,'Run Data'!$B$2:$B$271,A4,'Run Data'!$G$2:$G$271,B4)</x:f>
        <x:v>0.8440555555555557</x:v>
      </x:c>
    </x:row>
    <x:row r="5">
      <x:c r="A5" t="str">
        <x:v>Full_ALNS_EVRPTW</x:v>
      </x:c>
      <x:c r="B5" s="15" t="n">
        <x:v>5</x:v>
      </x:c>
      <x:c r="C5" s="15" t="n">
        <x:f>COUNTIFS('Run Data'!$B$2:$B$271,A5,'Run Data'!$G$2:$G$271,B5)</x:f>
        <x:v>18</x:v>
      </x:c>
      <x:c r="D5" s="17" t="n">
        <x:f>SUMIFS('Run Data'!$H$2:$H$271,'Run Data'!$B$2:$B$271,A5,'Run Data'!$G$2:$G$271,B5)/C5</x:f>
        <x:v>1</x:v>
      </x:c>
      <x:c r="E5" s="16" t="n">
        <x:f>AVERAGEIFS('Run Data'!$I$2:$I$271,'Run Data'!$B$2:$B$271,A5,'Run Data'!$G$2:$G$271,B5)</x:f>
        <x:v>1.8333333333333333</x:v>
      </x:c>
      <x:c r="F5" s="16" t="n">
        <x:f>AVERAGEIFS('Run Data'!$J$2:$J$271,'Run Data'!$B$2:$B$271,A5,'Run Data'!$G$2:$G$271,B5)</x:f>
        <x:v>198.6298783333333</x:v>
      </x:c>
      <x:c r="G5" s="16" t="n">
        <x:f>AVERAGEIFS('Run Data'!$K$2:$K$271,'Run Data'!$B$2:$B$271,A5,'Run Data'!$G$2:$G$271,B5)</x:f>
        <x:v>1.976756777777778</x:v>
      </x:c>
      <x:c r="H5" s="16" t="n">
        <x:f>AVERAGEIFS('Run Data'!$AC$2:$AC$271,'Run Data'!$B$2:$B$271,A5,'Run Data'!$G$2:$G$271,B5)</x:f>
        <x:v>1.8333333333333333</x:v>
      </x:c>
      <x:c r="I5" s="17" t="n">
        <x:f>AVERAGEIFS('Run Data'!$R$2:$R$271,'Run Data'!$B$2:$B$271,A5,'Run Data'!$G$2:$G$271,B5)</x:f>
        <x:v>0.999611111111111</x:v>
      </x:c>
    </x:row>
    <x:row r="6">
      <x:c r="A6" t="str">
        <x:v>Full_ALNS_EVRPTW</x:v>
      </x:c>
      <x:c r="B6" s="15" t="n">
        <x:v>10</x:v>
      </x:c>
      <x:c r="C6" s="15" t="n">
        <x:f>COUNTIFS('Run Data'!$B$2:$B$271,A6,'Run Data'!$G$2:$G$271,B6)</x:f>
        <x:v>18</x:v>
      </x:c>
      <x:c r="D6" s="17" t="n">
        <x:f>SUMIFS('Run Data'!$H$2:$H$271,'Run Data'!$B$2:$B$271,A6,'Run Data'!$G$2:$G$271,B6)/C6</x:f>
        <x:v>1</x:v>
      </x:c>
      <x:c r="E6" s="16" t="n">
        <x:f>AVERAGEIFS('Run Data'!$I$2:$I$271,'Run Data'!$B$2:$B$271,A6,'Run Data'!$G$2:$G$271,B6)</x:f>
        <x:v>2.0555555555555554</x:v>
      </x:c>
      <x:c r="F6" s="16" t="n">
        <x:f>AVERAGEIFS('Run Data'!$J$2:$J$271,'Run Data'!$B$2:$B$271,A6,'Run Data'!$G$2:$G$271,B6)</x:f>
        <x:v>332.18020588888885</x:v>
      </x:c>
      <x:c r="G6" s="16" t="n">
        <x:f>AVERAGEIFS('Run Data'!$K$2:$K$271,'Run Data'!$B$2:$B$271,A6,'Run Data'!$G$2:$G$271,B6)</x:f>
        <x:v>20.273243888888896</x:v>
      </x:c>
      <x:c r="H6" s="16" t="n">
        <x:f>AVERAGEIFS('Run Data'!$AC$2:$AC$271,'Run Data'!$B$2:$B$271,A6,'Run Data'!$G$2:$G$271,B6)</x:f>
        <x:v>4.388888888888889</x:v>
      </x:c>
      <x:c r="I6" s="17" t="n">
        <x:f>AVERAGEIFS('Run Data'!$R$2:$R$271,'Run Data'!$B$2:$B$271,A6,'Run Data'!$G$2:$G$271,B6)</x:f>
        <x:v>0.9546666666666668</x:v>
      </x:c>
    </x:row>
    <x:row r="7">
      <x:c r="A7" t="str">
        <x:v>Full_ALNS_EVRPTW</x:v>
      </x:c>
      <x:c r="B7" s="15" t="n">
        <x:v>15</x:v>
      </x:c>
      <x:c r="C7" s="15" t="n">
        <x:f>COUNTIFS('Run Data'!$B$2:$B$271,A7,'Run Data'!$G$2:$G$271,B7)</x:f>
        <x:v>18</x:v>
      </x:c>
      <x:c r="D7" s="17" t="n">
        <x:f>SUMIFS('Run Data'!$H$2:$H$271,'Run Data'!$B$2:$B$271,A7,'Run Data'!$G$2:$G$271,B7)/C7</x:f>
        <x:v>1</x:v>
      </x:c>
      <x:c r="E7" s="16" t="n">
        <x:f>AVERAGEIFS('Run Data'!$I$2:$I$271,'Run Data'!$B$2:$B$271,A7,'Run Data'!$G$2:$G$271,B7)</x:f>
        <x:v>3</x:v>
      </x:c>
      <x:c r="F7" s="16" t="n">
        <x:f>AVERAGEIFS('Run Data'!$J$2:$J$271,'Run Data'!$B$2:$B$271,A7,'Run Data'!$G$2:$G$271,B7)</x:f>
        <x:v>378.7081628888889</x:v>
      </x:c>
      <x:c r="G7" s="16" t="n">
        <x:f>AVERAGEIFS('Run Data'!$K$2:$K$271,'Run Data'!$B$2:$B$271,A7,'Run Data'!$G$2:$G$271,B7)</x:f>
        <x:v>106.43712211111112</x:v>
      </x:c>
      <x:c r="H7" s="16" t="n">
        <x:f>AVERAGEIFS('Run Data'!$AC$2:$AC$271,'Run Data'!$B$2:$B$271,A7,'Run Data'!$G$2:$G$271,B7)</x:f>
        <x:v>4.722222222222222</x:v>
      </x:c>
      <x:c r="I7" s="17" t="n">
        <x:f>AVERAGEIFS('Run Data'!$R$2:$R$271,'Run Data'!$B$2:$B$271,A7,'Run Data'!$G$2:$G$271,B7)</x:f>
        <x:v>0.915111111111111</x:v>
      </x:c>
    </x:row>
    <x:row r="8">
      <x:c r="A8" t="str">
        <x:v>No_Adaptive</x:v>
      </x:c>
      <x:c r="B8" s="15" t="n">
        <x:v>5</x:v>
      </x:c>
      <x:c r="C8" s="15" t="n">
        <x:f>COUNTIFS('Run Data'!$B$2:$B$271,A8,'Run Data'!$G$2:$G$271,B8)</x:f>
        <x:v>18</x:v>
      </x:c>
      <x:c r="D8" s="17" t="n">
        <x:f>SUMIFS('Run Data'!$H$2:$H$271,'Run Data'!$B$2:$B$271,A8,'Run Data'!$G$2:$G$271,B8)/C8</x:f>
        <x:v>1</x:v>
      </x:c>
      <x:c r="E8" s="16" t="n">
        <x:f>AVERAGEIFS('Run Data'!$I$2:$I$271,'Run Data'!$B$2:$B$271,A8,'Run Data'!$G$2:$G$271,B8)</x:f>
        <x:v>1.8333333333333333</x:v>
      </x:c>
      <x:c r="F8" s="16" t="n">
        <x:f>AVERAGEIFS('Run Data'!$J$2:$J$271,'Run Data'!$B$2:$B$271,A8,'Run Data'!$G$2:$G$271,B8)</x:f>
        <x:v>198.6298783333333</x:v>
      </x:c>
      <x:c r="G8" s="16" t="n">
        <x:f>AVERAGEIFS('Run Data'!$K$2:$K$271,'Run Data'!$B$2:$B$271,A8,'Run Data'!$G$2:$G$271,B8)</x:f>
        <x:v>1.9836482777777777</x:v>
      </x:c>
      <x:c r="H8" s="16" t="n">
        <x:f>AVERAGEIFS('Run Data'!$AC$2:$AC$271,'Run Data'!$B$2:$B$271,A8,'Run Data'!$G$2:$G$271,B8)</x:f>
        <x:v>1.8333333333333333</x:v>
      </x:c>
      <x:c r="I8" s="17" t="n">
        <x:f>AVERAGEIFS('Run Data'!$R$2:$R$271,'Run Data'!$B$2:$B$271,A8,'Run Data'!$G$2:$G$271,B8)</x:f>
        <x:v>0.9996666666666667</x:v>
      </x:c>
    </x:row>
    <x:row r="9">
      <x:c r="A9" t="str">
        <x:v>No_Adaptive</x:v>
      </x:c>
      <x:c r="B9" s="15" t="n">
        <x:v>10</x:v>
      </x:c>
      <x:c r="C9" s="15" t="n">
        <x:f>COUNTIFS('Run Data'!$B$2:$B$271,A9,'Run Data'!$G$2:$G$271,B9)</x:f>
        <x:v>18</x:v>
      </x:c>
      <x:c r="D9" s="17" t="n">
        <x:f>SUMIFS('Run Data'!$H$2:$H$271,'Run Data'!$B$2:$B$271,A9,'Run Data'!$G$2:$G$271,B9)/C9</x:f>
        <x:v>1</x:v>
      </x:c>
      <x:c r="E9" s="16" t="n">
        <x:f>AVERAGEIFS('Run Data'!$I$2:$I$271,'Run Data'!$B$2:$B$271,A9,'Run Data'!$G$2:$G$271,B9)</x:f>
        <x:v>2.0555555555555554</x:v>
      </x:c>
      <x:c r="F9" s="16" t="n">
        <x:f>AVERAGEIFS('Run Data'!$J$2:$J$271,'Run Data'!$B$2:$B$271,A9,'Run Data'!$G$2:$G$271,B9)</x:f>
        <x:v>332.18020588888885</x:v>
      </x:c>
      <x:c r="G9" s="16" t="n">
        <x:f>AVERAGEIFS('Run Data'!$K$2:$K$271,'Run Data'!$B$2:$B$271,A9,'Run Data'!$G$2:$G$271,B9)</x:f>
        <x:v>19.377557888888887</x:v>
      </x:c>
      <x:c r="H9" s="16" t="n">
        <x:f>AVERAGEIFS('Run Data'!$AC$2:$AC$271,'Run Data'!$B$2:$B$271,A9,'Run Data'!$G$2:$G$271,B9)</x:f>
        <x:v>4.388888888888889</x:v>
      </x:c>
      <x:c r="I9" s="17" t="n">
        <x:f>AVERAGEIFS('Run Data'!$R$2:$R$271,'Run Data'!$B$2:$B$271,A9,'Run Data'!$G$2:$G$271,B9)</x:f>
        <x:v>0.9608333333333332</x:v>
      </x:c>
    </x:row>
    <x:row r="10">
      <x:c r="A10" t="str">
        <x:v>No_Adaptive</x:v>
      </x:c>
      <x:c r="B10" s="15" t="n">
        <x:v>15</x:v>
      </x:c>
      <x:c r="C10" s="15" t="n">
        <x:f>COUNTIFS('Run Data'!$B$2:$B$271,A10,'Run Data'!$G$2:$G$271,B10)</x:f>
        <x:v>18</x:v>
      </x:c>
      <x:c r="D10" s="17" t="n">
        <x:f>SUMIFS('Run Data'!$H$2:$H$271,'Run Data'!$B$2:$B$271,A10,'Run Data'!$G$2:$G$271,B10)/C10</x:f>
        <x:v>1</x:v>
      </x:c>
      <x:c r="E10" s="16" t="n">
        <x:f>AVERAGEIFS('Run Data'!$I$2:$I$271,'Run Data'!$B$2:$B$271,A10,'Run Data'!$G$2:$G$271,B10)</x:f>
        <x:v>3</x:v>
      </x:c>
      <x:c r="F10" s="16" t="n">
        <x:f>AVERAGEIFS('Run Data'!$J$2:$J$271,'Run Data'!$B$2:$B$271,A10,'Run Data'!$G$2:$G$271,B10)</x:f>
        <x:v>385.80455533333327</x:v>
      </x:c>
      <x:c r="G10" s="16" t="n">
        <x:f>AVERAGEIFS('Run Data'!$K$2:$K$271,'Run Data'!$B$2:$B$271,A10,'Run Data'!$G$2:$G$271,B10)</x:f>
        <x:v>99.61900555555555</x:v>
      </x:c>
      <x:c r="H10" s="16" t="n">
        <x:f>AVERAGEIFS('Run Data'!$AC$2:$AC$271,'Run Data'!$B$2:$B$271,A10,'Run Data'!$G$2:$G$271,B10)</x:f>
        <x:v>4.722222222222222</x:v>
      </x:c>
      <x:c r="I10" s="17" t="n">
        <x:f>AVERAGEIFS('Run Data'!$R$2:$R$271,'Run Data'!$B$2:$B$271,A10,'Run Data'!$G$2:$G$271,B10)</x:f>
        <x:v>0.8905555555555557</x:v>
      </x:c>
    </x:row>
    <x:row r="11">
      <x:c r="A11" t="str">
        <x:v>No_SA</x:v>
      </x:c>
      <x:c r="B11" s="15" t="n">
        <x:v>5</x:v>
      </x:c>
      <x:c r="C11" s="15" t="n">
        <x:f>COUNTIFS('Run Data'!$B$2:$B$271,A11,'Run Data'!$G$2:$G$271,B11)</x:f>
        <x:v>18</x:v>
      </x:c>
      <x:c r="D11" s="17" t="n">
        <x:f>SUMIFS('Run Data'!$H$2:$H$271,'Run Data'!$B$2:$B$271,A11,'Run Data'!$G$2:$G$271,B11)/C11</x:f>
        <x:v>1</x:v>
      </x:c>
      <x:c r="E11" s="16" t="n">
        <x:f>AVERAGEIFS('Run Data'!$I$2:$I$271,'Run Data'!$B$2:$B$271,A11,'Run Data'!$G$2:$G$271,B11)</x:f>
        <x:v>1.8333333333333333</x:v>
      </x:c>
      <x:c r="F11" s="16" t="n">
        <x:f>AVERAGEIFS('Run Data'!$J$2:$J$271,'Run Data'!$B$2:$B$271,A11,'Run Data'!$G$2:$G$271,B11)</x:f>
        <x:v>198.6298783333333</x:v>
      </x:c>
      <x:c r="G11" s="16" t="n">
        <x:f>AVERAGEIFS('Run Data'!$K$2:$K$271,'Run Data'!$B$2:$B$271,A11,'Run Data'!$G$2:$G$271,B11)</x:f>
        <x:v>1.9140412222222223</x:v>
      </x:c>
      <x:c r="H11" s="16" t="n">
        <x:f>AVERAGEIFS('Run Data'!$AC$2:$AC$271,'Run Data'!$B$2:$B$271,A11,'Run Data'!$G$2:$G$271,B11)</x:f>
        <x:v>1.8333333333333333</x:v>
      </x:c>
      <x:c r="I11" s="17" t="n">
        <x:f>AVERAGEIFS('Run Data'!$R$2:$R$271,'Run Data'!$B$2:$B$271,A11,'Run Data'!$G$2:$G$271,B11)</x:f>
        <x:v>0.999611111111111</x:v>
      </x:c>
    </x:row>
    <x:row r="12">
      <x:c r="A12" t="str">
        <x:v>No_SA</x:v>
      </x:c>
      <x:c r="B12" s="15" t="n">
        <x:v>10</x:v>
      </x:c>
      <x:c r="C12" s="15" t="n">
        <x:f>COUNTIFS('Run Data'!$B$2:$B$271,A12,'Run Data'!$G$2:$G$271,B12)</x:f>
        <x:v>18</x:v>
      </x:c>
      <x:c r="D12" s="17" t="n">
        <x:f>SUMIFS('Run Data'!$H$2:$H$271,'Run Data'!$B$2:$B$271,A12,'Run Data'!$G$2:$G$271,B12)/C12</x:f>
        <x:v>1</x:v>
      </x:c>
      <x:c r="E12" s="16" t="n">
        <x:f>AVERAGEIFS('Run Data'!$I$2:$I$271,'Run Data'!$B$2:$B$271,A12,'Run Data'!$G$2:$G$271,B12)</x:f>
        <x:v>2.0555555555555554</x:v>
      </x:c>
      <x:c r="F12" s="16" t="n">
        <x:f>AVERAGEIFS('Run Data'!$J$2:$J$271,'Run Data'!$B$2:$B$271,A12,'Run Data'!$G$2:$G$271,B12)</x:f>
        <x:v>332.18020588888885</x:v>
      </x:c>
      <x:c r="G12" s="16" t="n">
        <x:f>AVERAGEIFS('Run Data'!$K$2:$K$271,'Run Data'!$B$2:$B$271,A12,'Run Data'!$G$2:$G$271,B12)</x:f>
        <x:v>19.13428588888889</x:v>
      </x:c>
      <x:c r="H12" s="16" t="n">
        <x:f>AVERAGEIFS('Run Data'!$AC$2:$AC$271,'Run Data'!$B$2:$B$271,A12,'Run Data'!$G$2:$G$271,B12)</x:f>
        <x:v>4.388888888888889</x:v>
      </x:c>
      <x:c r="I12" s="17" t="n">
        <x:f>AVERAGEIFS('Run Data'!$R$2:$R$271,'Run Data'!$B$2:$B$271,A12,'Run Data'!$G$2:$G$271,B12)</x:f>
        <x:v>0.9632777777777777</x:v>
      </x:c>
    </x:row>
    <x:row r="13">
      <x:c r="A13" t="str">
        <x:v>No_SA</x:v>
      </x:c>
      <x:c r="B13" s="15" t="n">
        <x:v>15</x:v>
      </x:c>
      <x:c r="C13" s="15" t="n">
        <x:f>COUNTIFS('Run Data'!$B$2:$B$271,A13,'Run Data'!$G$2:$G$271,B13)</x:f>
        <x:v>18</x:v>
      </x:c>
      <x:c r="D13" s="17" t="n">
        <x:f>SUMIFS('Run Data'!$H$2:$H$271,'Run Data'!$B$2:$B$271,A13,'Run Data'!$G$2:$G$271,B13)/C13</x:f>
        <x:v>1</x:v>
      </x:c>
      <x:c r="E13" s="16" t="n">
        <x:f>AVERAGEIFS('Run Data'!$I$2:$I$271,'Run Data'!$B$2:$B$271,A13,'Run Data'!$G$2:$G$271,B13)</x:f>
        <x:v>3</x:v>
      </x:c>
      <x:c r="F13" s="16" t="n">
        <x:f>AVERAGEIFS('Run Data'!$J$2:$J$271,'Run Data'!$B$2:$B$271,A13,'Run Data'!$G$2:$G$271,B13)</x:f>
        <x:v>389.9122329999999</x:v>
      </x:c>
      <x:c r="G13" s="16" t="n">
        <x:f>AVERAGEIFS('Run Data'!$K$2:$K$271,'Run Data'!$B$2:$B$271,A13,'Run Data'!$G$2:$G$271,B13)</x:f>
        <x:v>112.23824438888889</x:v>
      </x:c>
      <x:c r="H13" s="16" t="n">
        <x:f>AVERAGEIFS('Run Data'!$AC$2:$AC$271,'Run Data'!$B$2:$B$271,A13,'Run Data'!$G$2:$G$271,B13)</x:f>
        <x:v>4.722222222222222</x:v>
      </x:c>
      <x:c r="I13" s="17" t="n">
        <x:f>AVERAGEIFS('Run Data'!$R$2:$R$271,'Run Data'!$B$2:$B$271,A13,'Run Data'!$G$2:$G$271,B13)</x:f>
        <x:v>0.8871111111111112</x:v>
      </x:c>
    </x:row>
    <x:row r="14">
      <x:c r="A14" t="str">
        <x:v>No_Local_Search</x:v>
      </x:c>
      <x:c r="B14" s="15" t="n">
        <x:v>5</x:v>
      </x:c>
      <x:c r="C14" s="15" t="n">
        <x:f>COUNTIFS('Run Data'!$B$2:$B$271,A14,'Run Data'!$G$2:$G$271,B14)</x:f>
        <x:v>18</x:v>
      </x:c>
      <x:c r="D14" s="17" t="n">
        <x:f>SUMIFS('Run Data'!$H$2:$H$271,'Run Data'!$B$2:$B$271,A14,'Run Data'!$G$2:$G$271,B14)/C14</x:f>
        <x:v>1</x:v>
      </x:c>
      <x:c r="E14" s="16" t="n">
        <x:f>AVERAGEIFS('Run Data'!$I$2:$I$271,'Run Data'!$B$2:$B$271,A14,'Run Data'!$G$2:$G$271,B14)</x:f>
        <x:v>1.8333333333333333</x:v>
      </x:c>
      <x:c r="F14" s="16" t="n">
        <x:f>AVERAGEIFS('Run Data'!$J$2:$J$271,'Run Data'!$B$2:$B$271,A14,'Run Data'!$G$2:$G$271,B14)</x:f>
        <x:v>199.67684883333334</x:v>
      </x:c>
      <x:c r="G14" s="16" t="n">
        <x:f>AVERAGEIFS('Run Data'!$K$2:$K$271,'Run Data'!$B$2:$B$271,A14,'Run Data'!$G$2:$G$271,B14)</x:f>
        <x:v>1.0436990000000002</x:v>
      </x:c>
      <x:c r="H14" s="16" t="n">
        <x:f>AVERAGEIFS('Run Data'!$AC$2:$AC$271,'Run Data'!$B$2:$B$271,A14,'Run Data'!$G$2:$G$271,B14)</x:f>
        <x:v>2</x:v>
      </x:c>
      <x:c r="I14" s="17" t="n">
        <x:f>AVERAGEIFS('Run Data'!$R$2:$R$271,'Run Data'!$B$2:$B$271,A14,'Run Data'!$G$2:$G$271,B14)</x:f>
        <x:v>0.9996666666666667</x:v>
      </x:c>
    </x:row>
    <x:row r="15">
      <x:c r="A15" t="str">
        <x:v>No_Local_Search</x:v>
      </x:c>
      <x:c r="B15" s="15" t="n">
        <x:v>10</x:v>
      </x:c>
      <x:c r="C15" s="15" t="n">
        <x:f>COUNTIFS('Run Data'!$B$2:$B$271,A15,'Run Data'!$G$2:$G$271,B15)</x:f>
        <x:v>18</x:v>
      </x:c>
      <x:c r="D15" s="17" t="n">
        <x:f>SUMIFS('Run Data'!$H$2:$H$271,'Run Data'!$B$2:$B$271,A15,'Run Data'!$G$2:$G$271,B15)/C15</x:f>
        <x:v>1</x:v>
      </x:c>
      <x:c r="E15" s="16" t="n">
        <x:f>AVERAGEIFS('Run Data'!$I$2:$I$271,'Run Data'!$B$2:$B$271,A15,'Run Data'!$G$2:$G$271,B15)</x:f>
        <x:v>2.0555555555555554</x:v>
      </x:c>
      <x:c r="F15" s="16" t="n">
        <x:f>AVERAGEIFS('Run Data'!$J$2:$J$271,'Run Data'!$B$2:$B$271,A15,'Run Data'!$G$2:$G$271,B15)</x:f>
        <x:v>332.18020588888885</x:v>
      </x:c>
      <x:c r="G15" s="16" t="n">
        <x:f>AVERAGEIFS('Run Data'!$K$2:$K$271,'Run Data'!$B$2:$B$271,A15,'Run Data'!$G$2:$G$271,B15)</x:f>
        <x:v>9.4299715</x:v>
      </x:c>
      <x:c r="H15" s="16" t="n">
        <x:f>AVERAGEIFS('Run Data'!$AC$2:$AC$271,'Run Data'!$B$2:$B$271,A15,'Run Data'!$G$2:$G$271,B15)</x:f>
        <x:v>4.388888888888889</x:v>
      </x:c>
      <x:c r="I15" s="17" t="n">
        <x:f>AVERAGEIFS('Run Data'!$R$2:$R$271,'Run Data'!$B$2:$B$271,A15,'Run Data'!$G$2:$G$271,B15)</x:f>
        <x:v>0.9646666666666667</x:v>
      </x:c>
    </x:row>
    <x:row r="16">
      <x:c r="A16" t="str">
        <x:v>No_Local_Search</x:v>
      </x:c>
      <x:c r="B16" s="15" t="n">
        <x:v>15</x:v>
      </x:c>
      <x:c r="C16" s="15" t="n">
        <x:f>COUNTIFS('Run Data'!$B$2:$B$271,A16,'Run Data'!$G$2:$G$271,B16)</x:f>
        <x:v>18</x:v>
      </x:c>
      <x:c r="D16" s="17" t="n">
        <x:f>SUMIFS('Run Data'!$H$2:$H$271,'Run Data'!$B$2:$B$271,A16,'Run Data'!$G$2:$G$271,B16)/C16</x:f>
        <x:v>1</x:v>
      </x:c>
      <x:c r="E16" s="16" t="n">
        <x:f>AVERAGEIFS('Run Data'!$I$2:$I$271,'Run Data'!$B$2:$B$271,A16,'Run Data'!$G$2:$G$271,B16)</x:f>
        <x:v>3</x:v>
      </x:c>
      <x:c r="F16" s="16" t="n">
        <x:f>AVERAGEIFS('Run Data'!$J$2:$J$271,'Run Data'!$B$2:$B$271,A16,'Run Data'!$G$2:$G$271,B16)</x:f>
        <x:v>384.74275400000005</x:v>
      </x:c>
      <x:c r="G16" s="16" t="n">
        <x:f>AVERAGEIFS('Run Data'!$K$2:$K$271,'Run Data'!$B$2:$B$271,A16,'Run Data'!$G$2:$G$271,B16)</x:f>
        <x:v>57.37330877777778</x:v>
      </x:c>
      <x:c r="H16" s="16" t="n">
        <x:f>AVERAGEIFS('Run Data'!$AC$2:$AC$271,'Run Data'!$B$2:$B$271,A16,'Run Data'!$G$2:$G$271,B16)</x:f>
        <x:v>4.666666666666667</x:v>
      </x:c>
      <x:c r="I16" s="17" t="n">
        <x:f>AVERAGEIFS('Run Data'!$R$2:$R$271,'Run Data'!$B$2:$B$271,A16,'Run Data'!$G$2:$G$271,B16)</x:f>
        <x:v>0.8783888888888888</x:v>
      </x:c>
    </x:row>
  </x:sheetData>
  <x:pageMargins left="0.7" right="0.7" top="0.75" bottom="0.75" header="0.3" footer="0.3"/>
  <x:tableParts count="1">
    <x:tablePart xmlns:r="http://schemas.openxmlformats.org/officeDocument/2006/relationships" r:id="R41233c4ce26542f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2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8" customHeight="1">
      <x:c r="A1" s="10" t="str">
        <x:v>Instance</x:v>
      </x:c>
      <x:c r="B1" s="10" t="str">
        <x:v>Seed</x:v>
      </x:c>
      <x:c r="C1" s="10" t="str">
        <x:v>Customers</x:v>
      </x:c>
      <x:c r="D1" s="10" t="str">
        <x:v>VR vehicles</x:v>
      </x:c>
      <x:c r="E1" s="10" t="str">
        <x:v>EV vehicles</x:v>
      </x:c>
      <x:c r="F1" s="10" t="str">
        <x:v>Vehicle delta EV-VR</x:v>
      </x:c>
      <x:c r="G1" s="10" t="str">
        <x:v>Vehicle relation</x:v>
      </x:c>
      <x:c r="H1" s="10" t="str">
        <x:v>VR distance</x:v>
      </x:c>
      <x:c r="I1" s="10" t="str">
        <x:v>EV distance</x:v>
      </x:c>
      <x:c r="J1" s="10" t="str">
        <x:v>Distance delta if same vehicles</x:v>
      </x:c>
      <x:c r="K1" s="10" t="str">
        <x:v>Distance relation</x:v>
      </x:c>
      <x:c r="L1" s="10" t="str">
        <x:v>VR energy violation</x:v>
      </x:c>
      <x:c r="M1" s="10" t="str">
        <x:v>EV station visits</x:v>
      </x:c>
      <x:c r="N1" s="10" t="str">
        <x:v>VR runtime (s)</x:v>
      </x:c>
      <x:c r="O1" s="10" t="str">
        <x:v>EV runtime (s)</x:v>
      </x:c>
      <x:c r="P1" s="10" t="str">
        <x:v>Runtime ratio EV/VR</x:v>
      </x:c>
    </x:row>
    <x:row r="2">
      <x:c r="A2" t="str">
        <x:v>c101C5</x:v>
      </x:c>
      <x:c r="B2" s="15" t="n">
        <x:v>64</x:v>
      </x:c>
      <x:c r="C2" s="15" t="n">
        <x:v>5</x:v>
      </x:c>
      <x:c r="D2" s="15" t="n">
        <x:f>'Run Data'!I2</x:f>
        <x:v>2</x:v>
      </x:c>
      <x:c r="E2" s="15" t="n">
        <x:f>'Run Data'!I56</x:f>
        <x:v>3</x:v>
      </x:c>
      <x:c r="F2" s="15" t="n">
        <x:f>E2-D2</x:f>
        <x:v>1</x:v>
      </x:c>
      <x:c r="G2" s="26" t="str">
        <x:f>IF(F2&gt;0,"EV more",IF(F2&lt;0,"EV fewer","Same"))</x:f>
        <x:v>EV more</x:v>
      </x:c>
      <x:c r="H2" s="16" t="n">
        <x:f>'Run Data'!J2</x:f>
        <x:v>239.997575</x:v>
      </x:c>
      <x:c r="I2" s="16" t="n">
        <x:f>'Run Data'!J56</x:f>
        <x:v>247.149706</x:v>
      </x:c>
      <x:c r="J2" s="16" t="str">
        <x:f>IF(F2=0,I2-H2,"")</x:f>
      </x:c>
      <x:c r="K2" s="26" t="str">
        <x:f>IF(F2&lt;&gt;0,"Different vehicles",IF(J2&gt;'Protocol'!$B$13,"EV longer",IF(J2&lt;-'Protocol'!$B$13,"EV shorter","Tie")))</x:f>
        <x:v>Different vehicles</x:v>
      </x:c>
      <x:c r="L2" s="16" t="n">
        <x:f>'Run Data'!AA2</x:f>
        <x:v>121.337976</x:v>
      </x:c>
      <x:c r="M2" s="16" t="n">
        <x:f>'Run Data'!AC56</x:f>
        <x:v>2</x:v>
      </x:c>
      <x:c r="N2" s="16" t="n">
        <x:f>'Run Data'!K2</x:f>
        <x:v>0.298197</x:v>
      </x:c>
      <x:c r="O2" s="16" t="n">
        <x:f>'Run Data'!K56</x:f>
        <x:v>1.139474</x:v>
      </x:c>
      <x:c r="P2" s="27" t="n">
        <x:f>O2/N2</x:f>
        <x:v>3.8212121516983744</x:v>
      </x:c>
    </x:row>
    <x:row r="3">
      <x:c r="A3" t="str">
        <x:v>c101C5</x:v>
      </x:c>
      <x:c r="B3" s="15" t="n">
        <x:v>65</x:v>
      </x:c>
      <x:c r="C3" s="15" t="n">
        <x:v>5</x:v>
      </x:c>
      <x:c r="D3" s="15" t="n">
        <x:f>'Run Data'!I3</x:f>
        <x:v>2</x:v>
      </x:c>
      <x:c r="E3" s="15" t="n">
        <x:f>'Run Data'!I57</x:f>
        <x:v>3</x:v>
      </x:c>
      <x:c r="F3" s="15" t="n">
        <x:f>E3-D3</x:f>
        <x:v>1</x:v>
      </x:c>
      <x:c r="G3" s="26" t="str">
        <x:f>IF(F3&gt;0,"EV more",IF(F3&lt;0,"EV fewer","Same"))</x:f>
        <x:v>EV more</x:v>
      </x:c>
      <x:c r="H3" s="16" t="n">
        <x:f>'Run Data'!J3</x:f>
        <x:v>239.997575</x:v>
      </x:c>
      <x:c r="I3" s="16" t="n">
        <x:f>'Run Data'!J57</x:f>
        <x:v>247.149706</x:v>
      </x:c>
      <x:c r="J3" s="16" t="str">
        <x:f>IF(F3=0,I3-H3,"")</x:f>
      </x:c>
      <x:c r="K3" s="26" t="str">
        <x:f>IF(F3&lt;&gt;0,"Different vehicles",IF(J3&gt;'Protocol'!$B$13,"EV longer",IF(J3&lt;-'Protocol'!$B$13,"EV shorter","Tie")))</x:f>
        <x:v>Different vehicles</x:v>
      </x:c>
      <x:c r="L3" s="16" t="n">
        <x:f>'Run Data'!AA3</x:f>
        <x:v>121.337976</x:v>
      </x:c>
      <x:c r="M3" s="16" t="n">
        <x:f>'Run Data'!AC57</x:f>
        <x:v>2</x:v>
      </x:c>
      <x:c r="N3" s="16" t="n">
        <x:f>'Run Data'!K3</x:f>
        <x:v>0.29874</x:v>
      </x:c>
      <x:c r="O3" s="16" t="n">
        <x:f>'Run Data'!K57</x:f>
        <x:v>1.16619</x:v>
      </x:c>
      <x:c r="P3" s="27" t="n">
        <x:f>O3/N3</x:f>
        <x:v>3.903695521188994</x:v>
      </x:c>
    </x:row>
    <x:row r="4">
      <x:c r="A4" t="str">
        <x:v>c101C5</x:v>
      </x:c>
      <x:c r="B4" s="15" t="n">
        <x:v>66</x:v>
      </x:c>
      <x:c r="C4" s="15" t="n">
        <x:v>5</x:v>
      </x:c>
      <x:c r="D4" s="15" t="n">
        <x:f>'Run Data'!I4</x:f>
        <x:v>2</x:v>
      </x:c>
      <x:c r="E4" s="15" t="n">
        <x:f>'Run Data'!I58</x:f>
        <x:v>3</x:v>
      </x:c>
      <x:c r="F4" s="15" t="n">
        <x:f>E4-D4</x:f>
        <x:v>1</x:v>
      </x:c>
      <x:c r="G4" s="26" t="str">
        <x:f>IF(F4&gt;0,"EV more",IF(F4&lt;0,"EV fewer","Same"))</x:f>
        <x:v>EV more</x:v>
      </x:c>
      <x:c r="H4" s="16" t="n">
        <x:f>'Run Data'!J4</x:f>
        <x:v>239.997575</x:v>
      </x:c>
      <x:c r="I4" s="16" t="n">
        <x:f>'Run Data'!J58</x:f>
        <x:v>247.149706</x:v>
      </x:c>
      <x:c r="J4" s="16" t="str">
        <x:f>IF(F4=0,I4-H4,"")</x:f>
      </x:c>
      <x:c r="K4" s="26" t="str">
        <x:f>IF(F4&lt;&gt;0,"Different vehicles",IF(J4&gt;'Protocol'!$B$13,"EV longer",IF(J4&lt;-'Protocol'!$B$13,"EV shorter","Tie")))</x:f>
        <x:v>Different vehicles</x:v>
      </x:c>
      <x:c r="L4" s="16" t="n">
        <x:f>'Run Data'!AA4</x:f>
        <x:v>121.337976</x:v>
      </x:c>
      <x:c r="M4" s="16" t="n">
        <x:f>'Run Data'!AC58</x:f>
        <x:v>2</x:v>
      </x:c>
      <x:c r="N4" s="16" t="n">
        <x:f>'Run Data'!K4</x:f>
        <x:v>0.33532</x:v>
      </x:c>
      <x:c r="O4" s="16" t="n">
        <x:f>'Run Data'!K58</x:f>
        <x:v>1.183372</x:v>
      </x:c>
      <x:c r="P4" s="27" t="n">
        <x:f>O4/N4</x:f>
        <x:v>3.529082667302875</x:v>
      </x:c>
    </x:row>
    <x:row r="5">
      <x:c r="A5" t="str">
        <x:v>c101C10</x:v>
      </x:c>
      <x:c r="B5" s="15" t="n">
        <x:v>64</x:v>
      </x:c>
      <x:c r="C5" s="15" t="n">
        <x:v>10</x:v>
      </x:c>
      <x:c r="D5" s="15" t="n">
        <x:f>'Run Data'!I5</x:f>
        <x:v>3</x:v>
      </x:c>
      <x:c r="E5" s="15" t="n">
        <x:f>'Run Data'!I59</x:f>
        <x:v>3</x:v>
      </x:c>
      <x:c r="F5" s="15" t="n">
        <x:f>E5-D5</x:f>
        <x:v>0</x:v>
      </x:c>
      <x:c r="G5" s="26" t="str">
        <x:f>IF(F5&gt;0,"EV more",IF(F5&lt;0,"EV fewer","Same"))</x:f>
        <x:v>Same</x:v>
      </x:c>
      <x:c r="H5" s="16" t="n">
        <x:f>'Run Data'!J5</x:f>
        <x:v>366.332249</x:v>
      </x:c>
      <x:c r="I5" s="16" t="n">
        <x:f>'Run Data'!J59</x:f>
        <x:v>408.477828</x:v>
      </x:c>
      <x:c r="J5" s="16" t="n">
        <x:f>IF(F5=0,I5-H5,"")</x:f>
        <x:v>42.145579</x:v>
      </x:c>
      <x:c r="K5" s="26" t="str">
        <x:f>IF(F5&lt;&gt;0,"Different vehicles",IF(J5&gt;'Protocol'!$B$13,"EV longer",IF(J5&lt;-'Protocol'!$B$13,"EV shorter","Tie")))</x:f>
        <x:v>EV longer</x:v>
      </x:c>
      <x:c r="L5" s="16" t="n">
        <x:f>'Run Data'!AA5</x:f>
        <x:v>191.548497</x:v>
      </x:c>
      <x:c r="M5" s="16" t="n">
        <x:f>'Run Data'!AC59</x:f>
        <x:v>5</x:v>
      </x:c>
      <x:c r="N5" s="16" t="n">
        <x:f>'Run Data'!K5</x:f>
        <x:v>1.867968</x:v>
      </x:c>
      <x:c r="O5" s="16" t="n">
        <x:f>'Run Data'!K59</x:f>
        <x:v>21.797258</x:v>
      </x:c>
      <x:c r="P5" s="27" t="n">
        <x:f>O5/N5</x:f>
        <x:v>11.668967562613492</x:v>
      </x:c>
    </x:row>
    <x:row r="6">
      <x:c r="A6" t="str">
        <x:v>c101C10</x:v>
      </x:c>
      <x:c r="B6" s="15" t="n">
        <x:v>65</x:v>
      </x:c>
      <x:c r="C6" s="15" t="n">
        <x:v>10</x:v>
      </x:c>
      <x:c r="D6" s="15" t="n">
        <x:f>'Run Data'!I6</x:f>
        <x:v>3</x:v>
      </x:c>
      <x:c r="E6" s="15" t="n">
        <x:f>'Run Data'!I60</x:f>
        <x:v>3</x:v>
      </x:c>
      <x:c r="F6" s="15" t="n">
        <x:f>E6-D6</x:f>
        <x:v>0</x:v>
      </x:c>
      <x:c r="G6" s="26" t="str">
        <x:f>IF(F6&gt;0,"EV more",IF(F6&lt;0,"EV fewer","Same"))</x:f>
        <x:v>Same</x:v>
      </x:c>
      <x:c r="H6" s="16" t="n">
        <x:f>'Run Data'!J6</x:f>
        <x:v>366.332249</x:v>
      </x:c>
      <x:c r="I6" s="16" t="n">
        <x:f>'Run Data'!J60</x:f>
        <x:v>408.477828</x:v>
      </x:c>
      <x:c r="J6" s="16" t="n">
        <x:f>IF(F6=0,I6-H6,"")</x:f>
        <x:v>42.145579</x:v>
      </x:c>
      <x:c r="K6" s="26" t="str">
        <x:f>IF(F6&lt;&gt;0,"Different vehicles",IF(J6&gt;'Protocol'!$B$13,"EV longer",IF(J6&lt;-'Protocol'!$B$13,"EV shorter","Tie")))</x:f>
        <x:v>EV longer</x:v>
      </x:c>
      <x:c r="L6" s="16" t="n">
        <x:f>'Run Data'!AA6</x:f>
        <x:v>191.548497</x:v>
      </x:c>
      <x:c r="M6" s="16" t="n">
        <x:f>'Run Data'!AC60</x:f>
        <x:v>5</x:v>
      </x:c>
      <x:c r="N6" s="16" t="n">
        <x:f>'Run Data'!K6</x:f>
        <x:v>1.869061</x:v>
      </x:c>
      <x:c r="O6" s="16" t="n">
        <x:f>'Run Data'!K60</x:f>
        <x:v>22.588583</x:v>
      </x:c>
      <x:c r="P6" s="27" t="n">
        <x:f>O6/N6</x:f>
        <x:v>12.08552476350424</x:v>
      </x:c>
    </x:row>
    <x:row r="7">
      <x:c r="A7" t="str">
        <x:v>c101C10</x:v>
      </x:c>
      <x:c r="B7" s="15" t="n">
        <x:v>66</x:v>
      </x:c>
      <x:c r="C7" s="15" t="n">
        <x:v>10</x:v>
      </x:c>
      <x:c r="D7" s="15" t="n">
        <x:f>'Run Data'!I7</x:f>
        <x:v>3</x:v>
      </x:c>
      <x:c r="E7" s="15" t="n">
        <x:f>'Run Data'!I61</x:f>
        <x:v>3</x:v>
      </x:c>
      <x:c r="F7" s="15" t="n">
        <x:f>E7-D7</x:f>
        <x:v>0</x:v>
      </x:c>
      <x:c r="G7" s="26" t="str">
        <x:f>IF(F7&gt;0,"EV more",IF(F7&lt;0,"EV fewer","Same"))</x:f>
        <x:v>Same</x:v>
      </x:c>
      <x:c r="H7" s="16" t="n">
        <x:f>'Run Data'!J7</x:f>
        <x:v>366.332249</x:v>
      </x:c>
      <x:c r="I7" s="16" t="n">
        <x:f>'Run Data'!J61</x:f>
        <x:v>408.477828</x:v>
      </x:c>
      <x:c r="J7" s="16" t="n">
        <x:f>IF(F7=0,I7-H7,"")</x:f>
        <x:v>42.145579</x:v>
      </x:c>
      <x:c r="K7" s="26" t="str">
        <x:f>IF(F7&lt;&gt;0,"Different vehicles",IF(J7&gt;'Protocol'!$B$13,"EV longer",IF(J7&lt;-'Protocol'!$B$13,"EV shorter","Tie")))</x:f>
        <x:v>EV longer</x:v>
      </x:c>
      <x:c r="L7" s="16" t="n">
        <x:f>'Run Data'!AA7</x:f>
        <x:v>191.548497</x:v>
      </x:c>
      <x:c r="M7" s="16" t="n">
        <x:f>'Run Data'!AC61</x:f>
        <x:v>5</x:v>
      </x:c>
      <x:c r="N7" s="16" t="n">
        <x:f>'Run Data'!K7</x:f>
        <x:v>1.782986</x:v>
      </x:c>
      <x:c r="O7" s="16" t="n">
        <x:f>'Run Data'!K61</x:f>
        <x:v>22.858427</x:v>
      </x:c>
      <x:c r="P7" s="27" t="n">
        <x:f>O7/N7</x:f>
        <x:v>12.820306497078496</x:v>
      </x:c>
    </x:row>
    <x:row r="8">
      <x:c r="A8" t="str">
        <x:v>c103C15</x:v>
      </x:c>
      <x:c r="B8" s="15" t="n">
        <x:v>64</x:v>
      </x:c>
      <x:c r="C8" s="15" t="n">
        <x:v>15</x:v>
      </x:c>
      <x:c r="D8" s="15" t="n">
        <x:f>'Run Data'!I8</x:f>
        <x:v>2</x:v>
      </x:c>
      <x:c r="E8" s="15" t="n">
        <x:f>'Run Data'!I62</x:f>
        <x:v>3</x:v>
      </x:c>
      <x:c r="F8" s="15" t="n">
        <x:f>E8-D8</x:f>
        <x:v>1</x:v>
      </x:c>
      <x:c r="G8" s="26" t="str">
        <x:f>IF(F8&gt;0,"EV more",IF(F8&lt;0,"EV fewer","Same"))</x:f>
        <x:v>EV more</x:v>
      </x:c>
      <x:c r="H8" s="16" t="n">
        <x:f>'Run Data'!J8</x:f>
        <x:v>343.981611</x:v>
      </x:c>
      <x:c r="I8" s="16" t="n">
        <x:f>'Run Data'!J62</x:f>
        <x:v>392.977769</x:v>
      </x:c>
      <x:c r="J8" s="16" t="str">
        <x:f>IF(F8=0,I8-H8,"")</x:f>
      </x:c>
      <x:c r="K8" s="26" t="str">
        <x:f>IF(F8&lt;&gt;0,"Different vehicles",IF(J8&gt;'Protocol'!$B$13,"EV longer",IF(J8&lt;-'Protocol'!$B$13,"EV shorter","Tie")))</x:f>
        <x:v>Different vehicles</x:v>
      </x:c>
      <x:c r="L8" s="16" t="n">
        <x:f>'Run Data'!AA8</x:f>
        <x:v>526.538787</x:v>
      </x:c>
      <x:c r="M8" s="16" t="n">
        <x:f>'Run Data'!AC62</x:f>
        <x:v>4</x:v>
      </x:c>
      <x:c r="N8" s="16" t="n">
        <x:f>'Run Data'!K8</x:f>
        <x:v>4.869535</x:v>
      </x:c>
      <x:c r="O8" s="16" t="n">
        <x:f>'Run Data'!K62</x:f>
        <x:v>79.235737</x:v>
      </x:c>
      <x:c r="P8" s="27" t="n">
        <x:f>O8/N8</x:f>
        <x:v>16.271725534368272</x:v>
      </x:c>
    </x:row>
    <x:row r="9">
      <x:c r="A9" t="str">
        <x:v>c103C15</x:v>
      </x:c>
      <x:c r="B9" s="15" t="n">
        <x:v>65</x:v>
      </x:c>
      <x:c r="C9" s="15" t="n">
        <x:v>15</x:v>
      </x:c>
      <x:c r="D9" s="15" t="n">
        <x:f>'Run Data'!I9</x:f>
        <x:v>2</x:v>
      </x:c>
      <x:c r="E9" s="15" t="n">
        <x:f>'Run Data'!I63</x:f>
        <x:v>3</x:v>
      </x:c>
      <x:c r="F9" s="15" t="n">
        <x:f>E9-D9</x:f>
        <x:v>1</x:v>
      </x:c>
      <x:c r="G9" s="26" t="str">
        <x:f>IF(F9&gt;0,"EV more",IF(F9&lt;0,"EV fewer","Same"))</x:f>
        <x:v>EV more</x:v>
      </x:c>
      <x:c r="H9" s="16" t="n">
        <x:f>'Run Data'!J9</x:f>
        <x:v>343.981611</x:v>
      </x:c>
      <x:c r="I9" s="16" t="n">
        <x:f>'Run Data'!J63</x:f>
        <x:v>392.977769</x:v>
      </x:c>
      <x:c r="J9" s="16" t="str">
        <x:f>IF(F9=0,I9-H9,"")</x:f>
      </x:c>
      <x:c r="K9" s="26" t="str">
        <x:f>IF(F9&lt;&gt;0,"Different vehicles",IF(J9&gt;'Protocol'!$B$13,"EV longer",IF(J9&lt;-'Protocol'!$B$13,"EV shorter","Tie")))</x:f>
        <x:v>Different vehicles</x:v>
      </x:c>
      <x:c r="L9" s="16" t="n">
        <x:f>'Run Data'!AA9</x:f>
        <x:v>526.538787</x:v>
      </x:c>
      <x:c r="M9" s="16" t="n">
        <x:f>'Run Data'!AC63</x:f>
        <x:v>4</x:v>
      </x:c>
      <x:c r="N9" s="16" t="n">
        <x:f>'Run Data'!K9</x:f>
        <x:v>4.95589</x:v>
      </x:c>
      <x:c r="O9" s="16" t="n">
        <x:f>'Run Data'!K63</x:f>
        <x:v>75.180012</x:v>
      </x:c>
      <x:c r="P9" s="27" t="n">
        <x:f>O9/N9</x:f>
        <x:v>15.169830645958648</x:v>
      </x:c>
    </x:row>
    <x:row r="10">
      <x:c r="A10" t="str">
        <x:v>c103C15</x:v>
      </x:c>
      <x:c r="B10" s="15" t="n">
        <x:v>66</x:v>
      </x:c>
      <x:c r="C10" s="15" t="n">
        <x:v>15</x:v>
      </x:c>
      <x:c r="D10" s="15" t="n">
        <x:f>'Run Data'!I10</x:f>
        <x:v>2</x:v>
      </x:c>
      <x:c r="E10" s="15" t="n">
        <x:f>'Run Data'!I64</x:f>
        <x:v>3</x:v>
      </x:c>
      <x:c r="F10" s="15" t="n">
        <x:f>E10-D10</x:f>
        <x:v>1</x:v>
      </x:c>
      <x:c r="G10" s="26" t="str">
        <x:f>IF(F10&gt;0,"EV more",IF(F10&lt;0,"EV fewer","Same"))</x:f>
        <x:v>EV more</x:v>
      </x:c>
      <x:c r="H10" s="16" t="n">
        <x:f>'Run Data'!J10</x:f>
        <x:v>343.981611</x:v>
      </x:c>
      <x:c r="I10" s="16" t="n">
        <x:f>'Run Data'!J64</x:f>
        <x:v>392.977769</x:v>
      </x:c>
      <x:c r="J10" s="16" t="str">
        <x:f>IF(F10=0,I10-H10,"")</x:f>
      </x:c>
      <x:c r="K10" s="26" t="str">
        <x:f>IF(F10&lt;&gt;0,"Different vehicles",IF(J10&gt;'Protocol'!$B$13,"EV longer",IF(J10&lt;-'Protocol'!$B$13,"EV shorter","Tie")))</x:f>
        <x:v>Different vehicles</x:v>
      </x:c>
      <x:c r="L10" s="16" t="n">
        <x:f>'Run Data'!AA10</x:f>
        <x:v>526.538787</x:v>
      </x:c>
      <x:c r="M10" s="16" t="n">
        <x:f>'Run Data'!AC64</x:f>
        <x:v>4</x:v>
      </x:c>
      <x:c r="N10" s="16" t="n">
        <x:f>'Run Data'!K10</x:f>
        <x:v>5.385696</x:v>
      </x:c>
      <x:c r="O10" s="16" t="n">
        <x:f>'Run Data'!K64</x:f>
        <x:v>82.559186</x:v>
      </x:c>
      <x:c r="P10" s="27" t="n">
        <x:f>O10/N10</x:f>
        <x:v>15.329343876817406</x:v>
      </x:c>
    </x:row>
    <x:row r="11">
      <x:c r="A11" t="str">
        <x:v>c206C5</x:v>
      </x:c>
      <x:c r="B11" s="15" t="n">
        <x:v>64</x:v>
      </x:c>
      <x:c r="C11" s="15" t="n">
        <x:v>5</x:v>
      </x:c>
      <x:c r="D11" s="15" t="n">
        <x:f>'Run Data'!I11</x:f>
        <x:v>1</x:v>
      </x:c>
      <x:c r="E11" s="15" t="n">
        <x:f>'Run Data'!I65</x:f>
        <x:v>1</x:v>
      </x:c>
      <x:c r="F11" s="15" t="n">
        <x:f>E11-D11</x:f>
        <x:v>0</x:v>
      </x:c>
      <x:c r="G11" s="26" t="str">
        <x:f>IF(F11&gt;0,"EV more",IF(F11&lt;0,"EV fewer","Same"))</x:f>
        <x:v>Same</x:v>
      </x:c>
      <x:c r="H11" s="16" t="n">
        <x:f>'Run Data'!J11</x:f>
        <x:v>236.508161</x:v>
      </x:c>
      <x:c r="I11" s="16" t="n">
        <x:f>'Run Data'!J65</x:f>
        <x:v>242.555652</x:v>
      </x:c>
      <x:c r="J11" s="16" t="n">
        <x:f>IF(F11=0,I11-H11,"")</x:f>
        <x:v>6.047491000000008</x:v>
      </x:c>
      <x:c r="K11" s="26" t="str">
        <x:f>IF(F11&lt;&gt;0,"Different vehicles",IF(J11&gt;'Protocol'!$B$13,"EV longer",IF(J11&lt;-'Protocol'!$B$13,"EV shorter","Tie")))</x:f>
        <x:v>EV longer</x:v>
      </x:c>
      <x:c r="L11" s="16" t="n">
        <x:f>'Run Data'!AA11</x:f>
        <x:v>336.485508</x:v>
      </x:c>
      <x:c r="M11" s="16" t="n">
        <x:f>'Run Data'!AC65</x:f>
        <x:v>3</x:v>
      </x:c>
      <x:c r="N11" s="16" t="n">
        <x:f>'Run Data'!K11</x:f>
        <x:v>0.300012</x:v>
      </x:c>
      <x:c r="O11" s="16" t="n">
        <x:f>'Run Data'!K65</x:f>
        <x:v>2.150285</x:v>
      </x:c>
      <x:c r="P11" s="27" t="n">
        <x:f>O11/N11</x:f>
        <x:v>7.167329973467727</x:v>
      </x:c>
    </x:row>
    <x:row r="12">
      <x:c r="A12" t="str">
        <x:v>c206C5</x:v>
      </x:c>
      <x:c r="B12" s="15" t="n">
        <x:v>65</x:v>
      </x:c>
      <x:c r="C12" s="15" t="n">
        <x:v>5</x:v>
      </x:c>
      <x:c r="D12" s="15" t="n">
        <x:f>'Run Data'!I12</x:f>
        <x:v>1</x:v>
      </x:c>
      <x:c r="E12" s="15" t="n">
        <x:f>'Run Data'!I66</x:f>
        <x:v>1</x:v>
      </x:c>
      <x:c r="F12" s="15" t="n">
        <x:f>E12-D12</x:f>
        <x:v>0</x:v>
      </x:c>
      <x:c r="G12" s="26" t="str">
        <x:f>IF(F12&gt;0,"EV more",IF(F12&lt;0,"EV fewer","Same"))</x:f>
        <x:v>Same</x:v>
      </x:c>
      <x:c r="H12" s="16" t="n">
        <x:f>'Run Data'!J12</x:f>
        <x:v>236.508161</x:v>
      </x:c>
      <x:c r="I12" s="16" t="n">
        <x:f>'Run Data'!J66</x:f>
        <x:v>242.555652</x:v>
      </x:c>
      <x:c r="J12" s="16" t="n">
        <x:f>IF(F12=0,I12-H12,"")</x:f>
        <x:v>6.047491000000008</x:v>
      </x:c>
      <x:c r="K12" s="26" t="str">
        <x:f>IF(F12&lt;&gt;0,"Different vehicles",IF(J12&gt;'Protocol'!$B$13,"EV longer",IF(J12&lt;-'Protocol'!$B$13,"EV shorter","Tie")))</x:f>
        <x:v>EV longer</x:v>
      </x:c>
      <x:c r="L12" s="16" t="n">
        <x:f>'Run Data'!AA12</x:f>
        <x:v>336.485508</x:v>
      </x:c>
      <x:c r="M12" s="16" t="n">
        <x:f>'Run Data'!AC66</x:f>
        <x:v>3</x:v>
      </x:c>
      <x:c r="N12" s="16" t="n">
        <x:f>'Run Data'!K12</x:f>
        <x:v>0.282217</x:v>
      </x:c>
      <x:c r="O12" s="16" t="n">
        <x:f>'Run Data'!K66</x:f>
        <x:v>2.347707</x:v>
      </x:c>
      <x:c r="P12" s="27" t="n">
        <x:f>O12/N12</x:f>
        <x:v>8.318800780959334</x:v>
      </x:c>
    </x:row>
    <x:row r="13">
      <x:c r="A13" t="str">
        <x:v>c206C5</x:v>
      </x:c>
      <x:c r="B13" s="15" t="n">
        <x:v>66</x:v>
      </x:c>
      <x:c r="C13" s="15" t="n">
        <x:v>5</x:v>
      </x:c>
      <x:c r="D13" s="15" t="n">
        <x:f>'Run Data'!I13</x:f>
        <x:v>1</x:v>
      </x:c>
      <x:c r="E13" s="15" t="n">
        <x:f>'Run Data'!I67</x:f>
        <x:v>1</x:v>
      </x:c>
      <x:c r="F13" s="15" t="n">
        <x:f>E13-D13</x:f>
        <x:v>0</x:v>
      </x:c>
      <x:c r="G13" s="26" t="str">
        <x:f>IF(F13&gt;0,"EV more",IF(F13&lt;0,"EV fewer","Same"))</x:f>
        <x:v>Same</x:v>
      </x:c>
      <x:c r="H13" s="16" t="n">
        <x:f>'Run Data'!J13</x:f>
        <x:v>236.508161</x:v>
      </x:c>
      <x:c r="I13" s="16" t="n">
        <x:f>'Run Data'!J67</x:f>
        <x:v>242.555652</x:v>
      </x:c>
      <x:c r="J13" s="16" t="n">
        <x:f>IF(F13=0,I13-H13,"")</x:f>
        <x:v>6.047491000000008</x:v>
      </x:c>
      <x:c r="K13" s="26" t="str">
        <x:f>IF(F13&lt;&gt;0,"Different vehicles",IF(J13&gt;'Protocol'!$B$13,"EV longer",IF(J13&lt;-'Protocol'!$B$13,"EV shorter","Tie")))</x:f>
        <x:v>EV longer</x:v>
      </x:c>
      <x:c r="L13" s="16" t="n">
        <x:f>'Run Data'!AA13</x:f>
        <x:v>336.485508</x:v>
      </x:c>
      <x:c r="M13" s="16" t="n">
        <x:f>'Run Data'!AC67</x:f>
        <x:v>3</x:v>
      </x:c>
      <x:c r="N13" s="16" t="n">
        <x:f>'Run Data'!K13</x:f>
        <x:v>0.293475</x:v>
      </x:c>
      <x:c r="O13" s="16" t="n">
        <x:f>'Run Data'!K67</x:f>
        <x:v>2.233104</x:v>
      </x:c>
      <x:c r="P13" s="27" t="n">
        <x:f>O13/N13</x:f>
        <x:v>7.609179657551751</x:v>
      </x:c>
    </x:row>
    <x:row r="14">
      <x:c r="A14" t="str">
        <x:v>c202C10</x:v>
      </x:c>
      <x:c r="B14" s="15" t="n">
        <x:v>64</x:v>
      </x:c>
      <x:c r="C14" s="15" t="n">
        <x:v>10</x:v>
      </x:c>
      <x:c r="D14" s="15" t="n">
        <x:f>'Run Data'!I14</x:f>
        <x:v>1</x:v>
      </x:c>
      <x:c r="E14" s="15" t="n">
        <x:f>'Run Data'!I68</x:f>
        <x:v>1</x:v>
      </x:c>
      <x:c r="F14" s="15" t="n">
        <x:f>E14-D14</x:f>
        <x:v>0</x:v>
      </x:c>
      <x:c r="G14" s="26" t="str">
        <x:f>IF(F14&gt;0,"EV more",IF(F14&lt;0,"EV fewer","Same"))</x:f>
        <x:v>Same</x:v>
      </x:c>
      <x:c r="H14" s="16" t="n">
        <x:f>'Run Data'!J14</x:f>
        <x:v>282.440153</x:v>
      </x:c>
      <x:c r="I14" s="16" t="n">
        <x:f>'Run Data'!J68</x:f>
        <x:v>304.058332</x:v>
      </x:c>
      <x:c r="J14" s="16" t="n">
        <x:f>IF(F14=0,I14-H14,"")</x:f>
        <x:v>21.618178999999998</x:v>
      </x:c>
      <x:c r="K14" s="26" t="str">
        <x:f>IF(F14&lt;&gt;0,"Different vehicles",IF(J14&gt;'Protocol'!$B$13,"EV longer",IF(J14&lt;-'Protocol'!$B$13,"EV shorter","Tie")))</x:f>
        <x:v>EV longer</x:v>
      </x:c>
      <x:c r="L14" s="16" t="n">
        <x:f>'Run Data'!AA14</x:f>
        <x:v>1064.288667</x:v>
      </x:c>
      <x:c r="M14" s="16" t="n">
        <x:f>'Run Data'!AC68</x:f>
        <x:v>5</x:v>
      </x:c>
      <x:c r="N14" s="16" t="n">
        <x:f>'Run Data'!K14</x:f>
        <x:v>1.221777</x:v>
      </x:c>
      <x:c r="O14" s="16" t="n">
        <x:f>'Run Data'!K68</x:f>
        <x:v>28.549388</x:v>
      </x:c>
      <x:c r="P14" s="27" t="n">
        <x:f>O14/N14</x:f>
        <x:v>23.367102179857703</x:v>
      </x:c>
    </x:row>
    <x:row r="15">
      <x:c r="A15" t="str">
        <x:v>c202C10</x:v>
      </x:c>
      <x:c r="B15" s="15" t="n">
        <x:v>65</x:v>
      </x:c>
      <x:c r="C15" s="15" t="n">
        <x:v>10</x:v>
      </x:c>
      <x:c r="D15" s="15" t="n">
        <x:f>'Run Data'!I15</x:f>
        <x:v>1</x:v>
      </x:c>
      <x:c r="E15" s="15" t="n">
        <x:f>'Run Data'!I69</x:f>
        <x:v>1</x:v>
      </x:c>
      <x:c r="F15" s="15" t="n">
        <x:f>E15-D15</x:f>
        <x:v>0</x:v>
      </x:c>
      <x:c r="G15" s="26" t="str">
        <x:f>IF(F15&gt;0,"EV more",IF(F15&lt;0,"EV fewer","Same"))</x:f>
        <x:v>Same</x:v>
      </x:c>
      <x:c r="H15" s="16" t="n">
        <x:f>'Run Data'!J15</x:f>
        <x:v>282.440153</x:v>
      </x:c>
      <x:c r="I15" s="16" t="n">
        <x:f>'Run Data'!J69</x:f>
        <x:v>304.058332</x:v>
      </x:c>
      <x:c r="J15" s="16" t="n">
        <x:f>IF(F15=0,I15-H15,"")</x:f>
        <x:v>21.618178999999998</x:v>
      </x:c>
      <x:c r="K15" s="26" t="str">
        <x:f>IF(F15&lt;&gt;0,"Different vehicles",IF(J15&gt;'Protocol'!$B$13,"EV longer",IF(J15&lt;-'Protocol'!$B$13,"EV shorter","Tie")))</x:f>
        <x:v>EV longer</x:v>
      </x:c>
      <x:c r="L15" s="16" t="n">
        <x:f>'Run Data'!AA15</x:f>
        <x:v>1064.288667</x:v>
      </x:c>
      <x:c r="M15" s="16" t="n">
        <x:f>'Run Data'!AC69</x:f>
        <x:v>5</x:v>
      </x:c>
      <x:c r="N15" s="16" t="n">
        <x:f>'Run Data'!K15</x:f>
        <x:v>1.187904</x:v>
      </x:c>
      <x:c r="O15" s="16" t="n">
        <x:f>'Run Data'!K69</x:f>
        <x:v>28.410061</x:v>
      </x:c>
      <x:c r="P15" s="27" t="n">
        <x:f>O15/N15</x:f>
        <x:v>23.91612537713485</x:v>
      </x:c>
    </x:row>
    <x:row r="16">
      <x:c r="A16" t="str">
        <x:v>c202C10</x:v>
      </x:c>
      <x:c r="B16" s="15" t="n">
        <x:v>66</x:v>
      </x:c>
      <x:c r="C16" s="15" t="n">
        <x:v>10</x:v>
      </x:c>
      <x:c r="D16" s="15" t="n">
        <x:f>'Run Data'!I16</x:f>
        <x:v>1</x:v>
      </x:c>
      <x:c r="E16" s="15" t="n">
        <x:f>'Run Data'!I70</x:f>
        <x:v>1</x:v>
      </x:c>
      <x:c r="F16" s="15" t="n">
        <x:f>E16-D16</x:f>
        <x:v>0</x:v>
      </x:c>
      <x:c r="G16" s="26" t="str">
        <x:f>IF(F16&gt;0,"EV more",IF(F16&lt;0,"EV fewer","Same"))</x:f>
        <x:v>Same</x:v>
      </x:c>
      <x:c r="H16" s="16" t="n">
        <x:f>'Run Data'!J16</x:f>
        <x:v>282.440153</x:v>
      </x:c>
      <x:c r="I16" s="16" t="n">
        <x:f>'Run Data'!J70</x:f>
        <x:v>304.058332</x:v>
      </x:c>
      <x:c r="J16" s="16" t="n">
        <x:f>IF(F16=0,I16-H16,"")</x:f>
        <x:v>21.618178999999998</x:v>
      </x:c>
      <x:c r="K16" s="26" t="str">
        <x:f>IF(F16&lt;&gt;0,"Different vehicles",IF(J16&gt;'Protocol'!$B$13,"EV longer",IF(J16&lt;-'Protocol'!$B$13,"EV shorter","Tie")))</x:f>
        <x:v>EV longer</x:v>
      </x:c>
      <x:c r="L16" s="16" t="n">
        <x:f>'Run Data'!AA16</x:f>
        <x:v>1064.288667</x:v>
      </x:c>
      <x:c r="M16" s="16" t="n">
        <x:f>'Run Data'!AC70</x:f>
        <x:v>5</x:v>
      </x:c>
      <x:c r="N16" s="16" t="n">
        <x:f>'Run Data'!K16</x:f>
        <x:v>1.253645</x:v>
      </x:c>
      <x:c r="O16" s="16" t="n">
        <x:f>'Run Data'!K70</x:f>
        <x:v>29.022369</x:v>
      </x:c>
      <x:c r="P16" s="27" t="n">
        <x:f>O16/N16</x:f>
        <x:v>23.150388666648055</x:v>
      </x:c>
    </x:row>
    <x:row r="17">
      <x:c r="A17" t="str">
        <x:v>c202C15</x:v>
      </x:c>
      <x:c r="B17" s="15" t="n">
        <x:v>64</x:v>
      </x:c>
      <x:c r="C17" s="15" t="n">
        <x:v>15</x:v>
      </x:c>
      <x:c r="D17" s="15" t="n">
        <x:f>'Run Data'!I17</x:f>
        <x:v>1</x:v>
      </x:c>
      <x:c r="E17" s="15" t="n">
        <x:f>'Run Data'!I71</x:f>
        <x:v>3</x:v>
      </x:c>
      <x:c r="F17" s="15" t="n">
        <x:f>E17-D17</x:f>
        <x:v>2</x:v>
      </x:c>
      <x:c r="G17" s="26" t="str">
        <x:f>IF(F17&gt;0,"EV more",IF(F17&lt;0,"EV fewer","Same"))</x:f>
        <x:v>EV more</x:v>
      </x:c>
      <x:c r="H17" s="16" t="n">
        <x:f>'Run Data'!J17</x:f>
        <x:v>534.336415</x:v>
      </x:c>
      <x:c r="I17" s="16" t="n">
        <x:f>'Run Data'!J71</x:f>
        <x:v>376.789292</x:v>
      </x:c>
      <x:c r="J17" s="16" t="str">
        <x:f>IF(F17=0,I17-H17,"")</x:f>
      </x:c>
      <x:c r="K17" s="26" t="str">
        <x:f>IF(F17&lt;&gt;0,"Different vehicles",IF(J17&gt;'Protocol'!$B$13,"EV longer",IF(J17&lt;-'Protocol'!$B$13,"EV shorter","Tie")))</x:f>
        <x:v>Different vehicles</x:v>
      </x:c>
      <x:c r="L17" s="16" t="n">
        <x:f>'Run Data'!AA17</x:f>
        <x:v>3242.285867</x:v>
      </x:c>
      <x:c r="M17" s="16" t="n">
        <x:f>'Run Data'!AC71</x:f>
        <x:v>4</x:v>
      </x:c>
      <x:c r="N17" s="16" t="n">
        <x:f>'Run Data'!K17</x:f>
        <x:v>6.571761</x:v>
      </x:c>
      <x:c r="O17" s="16" t="n">
        <x:f>'Run Data'!K71</x:f>
        <x:v>91.744132</x:v>
      </x:c>
      <x:c r="P17" s="27" t="n">
        <x:f>O17/N17</x:f>
        <x:v>13.960357353226934</x:v>
      </x:c>
    </x:row>
    <x:row r="18">
      <x:c r="A18" t="str">
        <x:v>c202C15</x:v>
      </x:c>
      <x:c r="B18" s="15" t="n">
        <x:v>65</x:v>
      </x:c>
      <x:c r="C18" s="15" t="n">
        <x:v>15</x:v>
      </x:c>
      <x:c r="D18" s="15" t="n">
        <x:f>'Run Data'!I18</x:f>
        <x:v>1</x:v>
      </x:c>
      <x:c r="E18" s="15" t="n">
        <x:f>'Run Data'!I72</x:f>
        <x:v>3</x:v>
      </x:c>
      <x:c r="F18" s="15" t="n">
        <x:f>E18-D18</x:f>
        <x:v>2</x:v>
      </x:c>
      <x:c r="G18" s="26" t="str">
        <x:f>IF(F18&gt;0,"EV more",IF(F18&lt;0,"EV fewer","Same"))</x:f>
        <x:v>EV more</x:v>
      </x:c>
      <x:c r="H18" s="16" t="n">
        <x:f>'Run Data'!J18</x:f>
        <x:v>534.336415</x:v>
      </x:c>
      <x:c r="I18" s="16" t="n">
        <x:f>'Run Data'!J72</x:f>
        <x:v>376.789292</x:v>
      </x:c>
      <x:c r="J18" s="16" t="str">
        <x:f>IF(F18=0,I18-H18,"")</x:f>
      </x:c>
      <x:c r="K18" s="26" t="str">
        <x:f>IF(F18&lt;&gt;0,"Different vehicles",IF(J18&gt;'Protocol'!$B$13,"EV longer",IF(J18&lt;-'Protocol'!$B$13,"EV shorter","Tie")))</x:f>
        <x:v>Different vehicles</x:v>
      </x:c>
      <x:c r="L18" s="16" t="n">
        <x:f>'Run Data'!AA18</x:f>
        <x:v>3242.285867</x:v>
      </x:c>
      <x:c r="M18" s="16" t="n">
        <x:f>'Run Data'!AC72</x:f>
        <x:v>4</x:v>
      </x:c>
      <x:c r="N18" s="16" t="n">
        <x:f>'Run Data'!K18</x:f>
        <x:v>6.425804</x:v>
      </x:c>
      <x:c r="O18" s="16" t="n">
        <x:f>'Run Data'!K72</x:f>
        <x:v>92.466362</x:v>
      </x:c>
      <x:c r="P18" s="27" t="n">
        <x:f>O18/N18</x:f>
        <x:v>14.38985098207166</x:v>
      </x:c>
    </x:row>
    <x:row r="19">
      <x:c r="A19" t="str">
        <x:v>c202C15</x:v>
      </x:c>
      <x:c r="B19" s="15" t="n">
        <x:v>66</x:v>
      </x:c>
      <x:c r="C19" s="15" t="n">
        <x:v>15</x:v>
      </x:c>
      <x:c r="D19" s="15" t="n">
        <x:f>'Run Data'!I19</x:f>
        <x:v>1</x:v>
      </x:c>
      <x:c r="E19" s="15" t="n">
        <x:f>'Run Data'!I73</x:f>
        <x:v>3</x:v>
      </x:c>
      <x:c r="F19" s="15" t="n">
        <x:f>E19-D19</x:f>
        <x:v>2</x:v>
      </x:c>
      <x:c r="G19" s="26" t="str">
        <x:f>IF(F19&gt;0,"EV more",IF(F19&lt;0,"EV fewer","Same"))</x:f>
        <x:v>EV more</x:v>
      </x:c>
      <x:c r="H19" s="16" t="n">
        <x:f>'Run Data'!J19</x:f>
        <x:v>534.336415</x:v>
      </x:c>
      <x:c r="I19" s="16" t="n">
        <x:f>'Run Data'!J73</x:f>
        <x:v>376.789292</x:v>
      </x:c>
      <x:c r="J19" s="16" t="str">
        <x:f>IF(F19=0,I19-H19,"")</x:f>
      </x:c>
      <x:c r="K19" s="26" t="str">
        <x:f>IF(F19&lt;&gt;0,"Different vehicles",IF(J19&gt;'Protocol'!$B$13,"EV longer",IF(J19&lt;-'Protocol'!$B$13,"EV shorter","Tie")))</x:f>
        <x:v>Different vehicles</x:v>
      </x:c>
      <x:c r="L19" s="16" t="n">
        <x:f>'Run Data'!AA19</x:f>
        <x:v>3242.285867</x:v>
      </x:c>
      <x:c r="M19" s="16" t="n">
        <x:f>'Run Data'!AC73</x:f>
        <x:v>4</x:v>
      </x:c>
      <x:c r="N19" s="16" t="n">
        <x:f>'Run Data'!K19</x:f>
        <x:v>7.31147</x:v>
      </x:c>
      <x:c r="O19" s="16" t="n">
        <x:f>'Run Data'!K73</x:f>
        <x:v>93.889028</x:v>
      </x:c>
      <x:c r="P19" s="27" t="n">
        <x:f>O19/N19</x:f>
        <x:v>12.841333958834543</x:v>
      </x:c>
    </x:row>
    <x:row r="20">
      <x:c r="A20" t="str">
        <x:v>r105C5</x:v>
      </x:c>
      <x:c r="B20" s="15" t="n">
        <x:v>64</x:v>
      </x:c>
      <x:c r="C20" s="15" t="n">
        <x:v>5</x:v>
      </x:c>
      <x:c r="D20" s="15" t="n">
        <x:f>'Run Data'!I20</x:f>
        <x:v>2</x:v>
      </x:c>
      <x:c r="E20" s="15" t="n">
        <x:f>'Run Data'!I74</x:f>
        <x:v>2</x:v>
      </x:c>
      <x:c r="F20" s="15" t="n">
        <x:f>E20-D20</x:f>
        <x:v>0</x:v>
      </x:c>
      <x:c r="G20" s="26" t="str">
        <x:f>IF(F20&gt;0,"EV more",IF(F20&lt;0,"EV fewer","Same"))</x:f>
        <x:v>Same</x:v>
      </x:c>
      <x:c r="H20" s="16" t="n">
        <x:f>'Run Data'!J20</x:f>
        <x:v>151.148799</x:v>
      </x:c>
      <x:c r="I20" s="16" t="n">
        <x:f>'Run Data'!J74</x:f>
        <x:v>156.082069</x:v>
      </x:c>
      <x:c r="J20" s="16" t="n">
        <x:f>IF(F20=0,I20-H20,"")</x:f>
        <x:v>4.933269999999993</x:v>
      </x:c>
      <x:c r="K20" s="26" t="str">
        <x:f>IF(F20&lt;&gt;0,"Different vehicles",IF(J20&gt;'Protocol'!$B$13,"EV longer",IF(J20&lt;-'Protocol'!$B$13,"EV shorter","Tie")))</x:f>
        <x:v>EV longer</x:v>
      </x:c>
      <x:c r="L20" s="16" t="n">
        <x:f>'Run Data'!AA20</x:f>
        <x:v>45.235912</x:v>
      </x:c>
      <x:c r="M20" s="16" t="n">
        <x:f>'Run Data'!AC74</x:f>
        <x:v>1</x:v>
      </x:c>
      <x:c r="N20" s="16" t="n">
        <x:f>'Run Data'!K20</x:f>
        <x:v>0.375774</x:v>
      </x:c>
      <x:c r="O20" s="16" t="n">
        <x:f>'Run Data'!K74</x:f>
        <x:v>0.847096</x:v>
      </x:c>
      <x:c r="P20" s="27" t="n">
        <x:f>O20/N20</x:f>
        <x:v>2.2542698536886534</x:v>
      </x:c>
    </x:row>
    <x:row r="21">
      <x:c r="A21" t="str">
        <x:v>r105C5</x:v>
      </x:c>
      <x:c r="B21" s="15" t="n">
        <x:v>65</x:v>
      </x:c>
      <x:c r="C21" s="15" t="n">
        <x:v>5</x:v>
      </x:c>
      <x:c r="D21" s="15" t="n">
        <x:f>'Run Data'!I21</x:f>
        <x:v>2</x:v>
      </x:c>
      <x:c r="E21" s="15" t="n">
        <x:f>'Run Data'!I75</x:f>
        <x:v>2</x:v>
      </x:c>
      <x:c r="F21" s="15" t="n">
        <x:f>E21-D21</x:f>
        <x:v>0</x:v>
      </x:c>
      <x:c r="G21" s="26" t="str">
        <x:f>IF(F21&gt;0,"EV more",IF(F21&lt;0,"EV fewer","Same"))</x:f>
        <x:v>Same</x:v>
      </x:c>
      <x:c r="H21" s="16" t="n">
        <x:f>'Run Data'!J21</x:f>
        <x:v>151.148799</x:v>
      </x:c>
      <x:c r="I21" s="16" t="n">
        <x:f>'Run Data'!J75</x:f>
        <x:v>156.082069</x:v>
      </x:c>
      <x:c r="J21" s="16" t="n">
        <x:f>IF(F21=0,I21-H21,"")</x:f>
        <x:v>4.933269999999993</x:v>
      </x:c>
      <x:c r="K21" s="26" t="str">
        <x:f>IF(F21&lt;&gt;0,"Different vehicles",IF(J21&gt;'Protocol'!$B$13,"EV longer",IF(J21&lt;-'Protocol'!$B$13,"EV shorter","Tie")))</x:f>
        <x:v>EV longer</x:v>
      </x:c>
      <x:c r="L21" s="16" t="n">
        <x:f>'Run Data'!AA21</x:f>
        <x:v>45.235912</x:v>
      </x:c>
      <x:c r="M21" s="16" t="n">
        <x:f>'Run Data'!AC75</x:f>
        <x:v>1</x:v>
      </x:c>
      <x:c r="N21" s="16" t="n">
        <x:f>'Run Data'!K21</x:f>
        <x:v>0.426669</x:v>
      </x:c>
      <x:c r="O21" s="16" t="n">
        <x:f>'Run Data'!K75</x:f>
        <x:v>0.89902</x:v>
      </x:c>
      <x:c r="P21" s="27" t="n">
        <x:f>O21/N21</x:f>
        <x:v>2.1070666019795206</x:v>
      </x:c>
    </x:row>
    <x:row r="22">
      <x:c r="A22" t="str">
        <x:v>r105C5</x:v>
      </x:c>
      <x:c r="B22" s="15" t="n">
        <x:v>66</x:v>
      </x:c>
      <x:c r="C22" s="15" t="n">
        <x:v>5</x:v>
      </x:c>
      <x:c r="D22" s="15" t="n">
        <x:f>'Run Data'!I22</x:f>
        <x:v>2</x:v>
      </x:c>
      <x:c r="E22" s="15" t="n">
        <x:f>'Run Data'!I76</x:f>
        <x:v>2</x:v>
      </x:c>
      <x:c r="F22" s="15" t="n">
        <x:f>E22-D22</x:f>
        <x:v>0</x:v>
      </x:c>
      <x:c r="G22" s="26" t="str">
        <x:f>IF(F22&gt;0,"EV more",IF(F22&lt;0,"EV fewer","Same"))</x:f>
        <x:v>Same</x:v>
      </x:c>
      <x:c r="H22" s="16" t="n">
        <x:f>'Run Data'!J22</x:f>
        <x:v>151.148799</x:v>
      </x:c>
      <x:c r="I22" s="16" t="n">
        <x:f>'Run Data'!J76</x:f>
        <x:v>156.082069</x:v>
      </x:c>
      <x:c r="J22" s="16" t="n">
        <x:f>IF(F22=0,I22-H22,"")</x:f>
        <x:v>4.933269999999993</x:v>
      </x:c>
      <x:c r="K22" s="26" t="str">
        <x:f>IF(F22&lt;&gt;0,"Different vehicles",IF(J22&gt;'Protocol'!$B$13,"EV longer",IF(J22&lt;-'Protocol'!$B$13,"EV shorter","Tie")))</x:f>
        <x:v>EV longer</x:v>
      </x:c>
      <x:c r="L22" s="16" t="n">
        <x:f>'Run Data'!AA22</x:f>
        <x:v>45.235912</x:v>
      </x:c>
      <x:c r="M22" s="16" t="n">
        <x:f>'Run Data'!AC76</x:f>
        <x:v>1</x:v>
      </x:c>
      <x:c r="N22" s="16" t="n">
        <x:f>'Run Data'!K22</x:f>
        <x:v>0.38401</x:v>
      </x:c>
      <x:c r="O22" s="16" t="n">
        <x:f>'Run Data'!K76</x:f>
        <x:v>0.921714</x:v>
      </x:c>
      <x:c r="P22" s="27" t="n">
        <x:f>O22/N22</x:f>
        <x:v>2.400234368896643</x:v>
      </x:c>
    </x:row>
    <x:row r="23">
      <x:c r="A23" t="str">
        <x:v>r103C10</x:v>
      </x:c>
      <x:c r="B23" s="15" t="n">
        <x:v>64</x:v>
      </x:c>
      <x:c r="C23" s="15" t="n">
        <x:v>10</x:v>
      </x:c>
      <x:c r="D23" s="15" t="n">
        <x:f>'Run Data'!I23</x:f>
        <x:v>2</x:v>
      </x:c>
      <x:c r="E23" s="15" t="n">
        <x:f>'Run Data'!I77</x:f>
        <x:v>2</x:v>
      </x:c>
      <x:c r="F23" s="15" t="n">
        <x:f>E23-D23</x:f>
        <x:v>0</x:v>
      </x:c>
      <x:c r="G23" s="26" t="str">
        <x:f>IF(F23&gt;0,"EV more",IF(F23&lt;0,"EV fewer","Same"))</x:f>
        <x:v>Same</x:v>
      </x:c>
      <x:c r="H23" s="16" t="n">
        <x:f>'Run Data'!J23</x:f>
        <x:v>188.66603</x:v>
      </x:c>
      <x:c r="I23" s="16" t="n">
        <x:f>'Run Data'!J77</x:f>
        <x:v>207.051154</x:v>
      </x:c>
      <x:c r="J23" s="16" t="n">
        <x:f>IF(F23=0,I23-H23,"")</x:f>
        <x:v>18.38512399999999</x:v>
      </x:c>
      <x:c r="K23" s="26" t="str">
        <x:f>IF(F23&lt;&gt;0,"Different vehicles",IF(J23&gt;'Protocol'!$B$13,"EV longer",IF(J23&lt;-'Protocol'!$B$13,"EV shorter","Tie")))</x:f>
        <x:v>EV longer</x:v>
      </x:c>
      <x:c r="L23" s="16" t="n">
        <x:f>'Run Data'!AA23</x:f>
        <x:v>108.971797</x:v>
      </x:c>
      <x:c r="M23" s="16" t="n">
        <x:f>'Run Data'!AC77</x:f>
        <x:v>3</x:v>
      </x:c>
      <x:c r="N23" s="16" t="n">
        <x:f>'Run Data'!K23</x:f>
        <x:v>1.792368</x:v>
      </x:c>
      <x:c r="O23" s="16" t="n">
        <x:f>'Run Data'!K77</x:f>
        <x:v>13.315872</x:v>
      </x:c>
      <x:c r="P23" s="27" t="n">
        <x:f>O23/N23</x:f>
        <x:v>7.429206502236148</x:v>
      </x:c>
    </x:row>
    <x:row r="24">
      <x:c r="A24" t="str">
        <x:v>r103C10</x:v>
      </x:c>
      <x:c r="B24" s="15" t="n">
        <x:v>65</x:v>
      </x:c>
      <x:c r="C24" s="15" t="n">
        <x:v>10</x:v>
      </x:c>
      <x:c r="D24" s="15" t="n">
        <x:f>'Run Data'!I24</x:f>
        <x:v>2</x:v>
      </x:c>
      <x:c r="E24" s="15" t="n">
        <x:f>'Run Data'!I78</x:f>
        <x:v>2</x:v>
      </x:c>
      <x:c r="F24" s="15" t="n">
        <x:f>E24-D24</x:f>
        <x:v>0</x:v>
      </x:c>
      <x:c r="G24" s="26" t="str">
        <x:f>IF(F24&gt;0,"EV more",IF(F24&lt;0,"EV fewer","Same"))</x:f>
        <x:v>Same</x:v>
      </x:c>
      <x:c r="H24" s="16" t="n">
        <x:f>'Run Data'!J24</x:f>
        <x:v>188.66603</x:v>
      </x:c>
      <x:c r="I24" s="16" t="n">
        <x:f>'Run Data'!J78</x:f>
        <x:v>207.051154</x:v>
      </x:c>
      <x:c r="J24" s="16" t="n">
        <x:f>IF(F24=0,I24-H24,"")</x:f>
        <x:v>18.38512399999999</x:v>
      </x:c>
      <x:c r="K24" s="26" t="str">
        <x:f>IF(F24&lt;&gt;0,"Different vehicles",IF(J24&gt;'Protocol'!$B$13,"EV longer",IF(J24&lt;-'Protocol'!$B$13,"EV shorter","Tie")))</x:f>
        <x:v>EV longer</x:v>
      </x:c>
      <x:c r="L24" s="16" t="n">
        <x:f>'Run Data'!AA24</x:f>
        <x:v>108.971797</x:v>
      </x:c>
      <x:c r="M24" s="16" t="n">
        <x:f>'Run Data'!AC78</x:f>
        <x:v>3</x:v>
      </x:c>
      <x:c r="N24" s="16" t="n">
        <x:f>'Run Data'!K24</x:f>
        <x:v>2.016664</x:v>
      </x:c>
      <x:c r="O24" s="16" t="n">
        <x:f>'Run Data'!K78</x:f>
        <x:v>11.950364</x:v>
      </x:c>
      <x:c r="P24" s="27" t="n">
        <x:f>O24/N24</x:f>
        <x:v>5.925808166357906</x:v>
      </x:c>
    </x:row>
    <x:row r="25">
      <x:c r="A25" t="str">
        <x:v>r103C10</x:v>
      </x:c>
      <x:c r="B25" s="15" t="n">
        <x:v>66</x:v>
      </x:c>
      <x:c r="C25" s="15" t="n">
        <x:v>10</x:v>
      </x:c>
      <x:c r="D25" s="15" t="n">
        <x:f>'Run Data'!I25</x:f>
        <x:v>2</x:v>
      </x:c>
      <x:c r="E25" s="15" t="n">
        <x:f>'Run Data'!I79</x:f>
        <x:v>2</x:v>
      </x:c>
      <x:c r="F25" s="15" t="n">
        <x:f>E25-D25</x:f>
        <x:v>0</x:v>
      </x:c>
      <x:c r="G25" s="26" t="str">
        <x:f>IF(F25&gt;0,"EV more",IF(F25&lt;0,"EV fewer","Same"))</x:f>
        <x:v>Same</x:v>
      </x:c>
      <x:c r="H25" s="16" t="n">
        <x:f>'Run Data'!J25</x:f>
        <x:v>188.66603</x:v>
      </x:c>
      <x:c r="I25" s="16" t="n">
        <x:f>'Run Data'!J79</x:f>
        <x:v>207.051154</x:v>
      </x:c>
      <x:c r="J25" s="16" t="n">
        <x:f>IF(F25=0,I25-H25,"")</x:f>
        <x:v>18.38512399999999</x:v>
      </x:c>
      <x:c r="K25" s="26" t="str">
        <x:f>IF(F25&lt;&gt;0,"Different vehicles",IF(J25&gt;'Protocol'!$B$13,"EV longer",IF(J25&lt;-'Protocol'!$B$13,"EV shorter","Tie")))</x:f>
        <x:v>EV longer</x:v>
      </x:c>
      <x:c r="L25" s="16" t="n">
        <x:f>'Run Data'!AA25</x:f>
        <x:v>108.971797</x:v>
      </x:c>
      <x:c r="M25" s="16" t="n">
        <x:f>'Run Data'!AC79</x:f>
        <x:v>3</x:v>
      </x:c>
      <x:c r="N25" s="16" t="n">
        <x:f>'Run Data'!K25</x:f>
        <x:v>1.779813</x:v>
      </x:c>
      <x:c r="O25" s="16" t="n">
        <x:f>'Run Data'!K79</x:f>
        <x:v>13.25145</x:v>
      </x:c>
      <x:c r="P25" s="27" t="n">
        <x:f>O25/N25</x:f>
        <x:v>7.445417018529475</x:v>
      </x:c>
    </x:row>
    <x:row r="26">
      <x:c r="A26" t="str">
        <x:v>r105C15</x:v>
      </x:c>
      <x:c r="B26" s="15" t="n">
        <x:v>64</x:v>
      </x:c>
      <x:c r="C26" s="15" t="n">
        <x:v>15</x:v>
      </x:c>
      <x:c r="D26" s="15" t="n">
        <x:f>'Run Data'!I26</x:f>
        <x:v>3</x:v>
      </x:c>
      <x:c r="E26" s="15" t="n">
        <x:f>'Run Data'!I80</x:f>
        <x:v>4</x:v>
      </x:c>
      <x:c r="F26" s="15" t="n">
        <x:f>E26-D26</x:f>
        <x:v>1</x:v>
      </x:c>
      <x:c r="G26" s="26" t="str">
        <x:f>IF(F26&gt;0,"EV more",IF(F26&lt;0,"EV fewer","Same"))</x:f>
        <x:v>EV more</x:v>
      </x:c>
      <x:c r="H26" s="16" t="n">
        <x:f>'Run Data'!J26</x:f>
        <x:v>312.407542</x:v>
      </x:c>
      <x:c r="I26" s="16" t="n">
        <x:f>'Run Data'!J80</x:f>
        <x:v>336.153602</x:v>
      </x:c>
      <x:c r="J26" s="16" t="str">
        <x:f>IF(F26=0,I26-H26,"")</x:f>
      </x:c>
      <x:c r="K26" s="26" t="str">
        <x:f>IF(F26&lt;&gt;0,"Different vehicles",IF(J26&gt;'Protocol'!$B$13,"EV longer",IF(J26&lt;-'Protocol'!$B$13,"EV shorter","Tie")))</x:f>
        <x:v>Different vehicles</x:v>
      </x:c>
      <x:c r="L26" s="16" t="n">
        <x:f>'Run Data'!AA26</x:f>
        <x:v>252.497275</x:v>
      </x:c>
      <x:c r="M26" s="16" t="n">
        <x:f>'Run Data'!AC80</x:f>
        <x:v>4</x:v>
      </x:c>
      <x:c r="N26" s="16" t="n">
        <x:f>'Run Data'!K26</x:f>
        <x:v>4.071671</x:v>
      </x:c>
      <x:c r="O26" s="16" t="n">
        <x:f>'Run Data'!K80</x:f>
        <x:v>59.317793</x:v>
      </x:c>
      <x:c r="P26" s="27" t="n">
        <x:f>O26/N26</x:f>
        <x:v>14.56841503156812</x:v>
      </x:c>
    </x:row>
    <x:row r="27">
      <x:c r="A27" t="str">
        <x:v>r105C15</x:v>
      </x:c>
      <x:c r="B27" s="15" t="n">
        <x:v>65</x:v>
      </x:c>
      <x:c r="C27" s="15" t="n">
        <x:v>15</x:v>
      </x:c>
      <x:c r="D27" s="15" t="n">
        <x:f>'Run Data'!I27</x:f>
        <x:v>3</x:v>
      </x:c>
      <x:c r="E27" s="15" t="n">
        <x:f>'Run Data'!I81</x:f>
        <x:v>4</x:v>
      </x:c>
      <x:c r="F27" s="15" t="n">
        <x:f>E27-D27</x:f>
        <x:v>1</x:v>
      </x:c>
      <x:c r="G27" s="26" t="str">
        <x:f>IF(F27&gt;0,"EV more",IF(F27&lt;0,"EV fewer","Same"))</x:f>
        <x:v>EV more</x:v>
      </x:c>
      <x:c r="H27" s="16" t="n">
        <x:f>'Run Data'!J27</x:f>
        <x:v>312.407542</x:v>
      </x:c>
      <x:c r="I27" s="16" t="n">
        <x:f>'Run Data'!J81</x:f>
        <x:v>336.153602</x:v>
      </x:c>
      <x:c r="J27" s="16" t="str">
        <x:f>IF(F27=0,I27-H27,"")</x:f>
      </x:c>
      <x:c r="K27" s="26" t="str">
        <x:f>IF(F27&lt;&gt;0,"Different vehicles",IF(J27&gt;'Protocol'!$B$13,"EV longer",IF(J27&lt;-'Protocol'!$B$13,"EV shorter","Tie")))</x:f>
        <x:v>Different vehicles</x:v>
      </x:c>
      <x:c r="L27" s="16" t="n">
        <x:f>'Run Data'!AA27</x:f>
        <x:v>252.497275</x:v>
      </x:c>
      <x:c r="M27" s="16" t="n">
        <x:f>'Run Data'!AC81</x:f>
        <x:v>4</x:v>
      </x:c>
      <x:c r="N27" s="16" t="n">
        <x:f>'Run Data'!K27</x:f>
        <x:v>4.177494</x:v>
      </x:c>
      <x:c r="O27" s="16" t="n">
        <x:f>'Run Data'!K81</x:f>
        <x:v>51.050495</x:v>
      </x:c>
      <x:c r="P27" s="27" t="n">
        <x:f>O27/N27</x:f>
        <x:v>12.220363452347268</x:v>
      </x:c>
    </x:row>
    <x:row r="28">
      <x:c r="A28" t="str">
        <x:v>r105C15</x:v>
      </x:c>
      <x:c r="B28" s="15" t="n">
        <x:v>66</x:v>
      </x:c>
      <x:c r="C28" s="15" t="n">
        <x:v>15</x:v>
      </x:c>
      <x:c r="D28" s="15" t="n">
        <x:f>'Run Data'!I28</x:f>
        <x:v>3</x:v>
      </x:c>
      <x:c r="E28" s="15" t="n">
        <x:f>'Run Data'!I82</x:f>
        <x:v>4</x:v>
      </x:c>
      <x:c r="F28" s="15" t="n">
        <x:f>E28-D28</x:f>
        <x:v>1</x:v>
      </x:c>
      <x:c r="G28" s="26" t="str">
        <x:f>IF(F28&gt;0,"EV more",IF(F28&lt;0,"EV fewer","Same"))</x:f>
        <x:v>EV more</x:v>
      </x:c>
      <x:c r="H28" s="16" t="n">
        <x:f>'Run Data'!J28</x:f>
        <x:v>312.407542</x:v>
      </x:c>
      <x:c r="I28" s="16" t="n">
        <x:f>'Run Data'!J82</x:f>
        <x:v>336.153602</x:v>
      </x:c>
      <x:c r="J28" s="16" t="str">
        <x:f>IF(F28=0,I28-H28,"")</x:f>
      </x:c>
      <x:c r="K28" s="26" t="str">
        <x:f>IF(F28&lt;&gt;0,"Different vehicles",IF(J28&gt;'Protocol'!$B$13,"EV longer",IF(J28&lt;-'Protocol'!$B$13,"EV shorter","Tie")))</x:f>
        <x:v>Different vehicles</x:v>
      </x:c>
      <x:c r="L28" s="16" t="n">
        <x:f>'Run Data'!AA28</x:f>
        <x:v>252.497275</x:v>
      </x:c>
      <x:c r="M28" s="16" t="n">
        <x:f>'Run Data'!AC82</x:f>
        <x:v>4</x:v>
      </x:c>
      <x:c r="N28" s="16" t="n">
        <x:f>'Run Data'!K28</x:f>
        <x:v>4.552739</x:v>
      </x:c>
      <x:c r="O28" s="16" t="n">
        <x:f>'Run Data'!K82</x:f>
        <x:v>60.642805</x:v>
      </x:c>
      <x:c r="P28" s="27" t="n">
        <x:f>O28/N28</x:f>
        <x:v>13.32007062122384</x:v>
      </x:c>
    </x:row>
    <x:row r="29">
      <x:c r="A29" t="str">
        <x:v>r202C5</x:v>
      </x:c>
      <x:c r="B29" s="15" t="n">
        <x:v>64</x:v>
      </x:c>
      <x:c r="C29" s="15" t="n">
        <x:v>5</x:v>
      </x:c>
      <x:c r="D29" s="15" t="n">
        <x:f>'Run Data'!I29</x:f>
        <x:v>1</x:v>
      </x:c>
      <x:c r="E29" s="15" t="n">
        <x:f>'Run Data'!I83</x:f>
        <x:v>1</x:v>
      </x:c>
      <x:c r="F29" s="15" t="n">
        <x:f>E29-D29</x:f>
        <x:v>0</x:v>
      </x:c>
      <x:c r="G29" s="26" t="str">
        <x:f>IF(F29&gt;0,"EV more",IF(F29&lt;0,"EV fewer","Same"))</x:f>
        <x:v>Same</x:v>
      </x:c>
      <x:c r="H29" s="16" t="n">
        <x:f>'Run Data'!J29</x:f>
        <x:v>140.535638</x:v>
      </x:c>
      <x:c r="I29" s="16" t="n">
        <x:f>'Run Data'!J83</x:f>
        <x:v>128.777139</x:v>
      </x:c>
      <x:c r="J29" s="16" t="n">
        <x:f>IF(F29=0,I29-H29,"")</x:f>
        <x:v>-11.758499</x:v>
      </x:c>
      <x:c r="K29" s="26" t="str">
        <x:f>IF(F29&lt;&gt;0,"Different vehicles",IF(J29&gt;'Protocol'!$B$13,"EV longer",IF(J29&lt;-'Protocol'!$B$13,"EV shorter","Tie")))</x:f>
        <x:v>EV shorter</x:v>
      </x:c>
      <x:c r="L29" s="16" t="n">
        <x:f>'Run Data'!AA29</x:f>
        <x:v>201.899671</x:v>
      </x:c>
      <x:c r="M29" s="16" t="n">
        <x:f>'Run Data'!AC83</x:f>
        <x:v>2</x:v>
      </x:c>
      <x:c r="N29" s="16" t="n">
        <x:f>'Run Data'!K29</x:f>
        <x:v>0.328037</x:v>
      </x:c>
      <x:c r="O29" s="16" t="n">
        <x:f>'Run Data'!K83</x:f>
        <x:v>2.762394</x:v>
      </x:c>
      <x:c r="P29" s="27" t="n">
        <x:f>O29/N29</x:f>
        <x:v>8.420982998869029</x:v>
      </x:c>
    </x:row>
    <x:row r="30">
      <x:c r="A30" t="str">
        <x:v>r202C5</x:v>
      </x:c>
      <x:c r="B30" s="15" t="n">
        <x:v>65</x:v>
      </x:c>
      <x:c r="C30" s="15" t="n">
        <x:v>5</x:v>
      </x:c>
      <x:c r="D30" s="15" t="n">
        <x:f>'Run Data'!I30</x:f>
        <x:v>1</x:v>
      </x:c>
      <x:c r="E30" s="15" t="n">
        <x:f>'Run Data'!I84</x:f>
        <x:v>1</x:v>
      </x:c>
      <x:c r="F30" s="15" t="n">
        <x:f>E30-D30</x:f>
        <x:v>0</x:v>
      </x:c>
      <x:c r="G30" s="26" t="str">
        <x:f>IF(F30&gt;0,"EV more",IF(F30&lt;0,"EV fewer","Same"))</x:f>
        <x:v>Same</x:v>
      </x:c>
      <x:c r="H30" s="16" t="n">
        <x:f>'Run Data'!J30</x:f>
        <x:v>140.535638</x:v>
      </x:c>
      <x:c r="I30" s="16" t="n">
        <x:f>'Run Data'!J84</x:f>
        <x:v>128.777139</x:v>
      </x:c>
      <x:c r="J30" s="16" t="n">
        <x:f>IF(F30=0,I30-H30,"")</x:f>
        <x:v>-11.758499</x:v>
      </x:c>
      <x:c r="K30" s="26" t="str">
        <x:f>IF(F30&lt;&gt;0,"Different vehicles",IF(J30&gt;'Protocol'!$B$13,"EV longer",IF(J30&lt;-'Protocol'!$B$13,"EV shorter","Tie")))</x:f>
        <x:v>EV shorter</x:v>
      </x:c>
      <x:c r="L30" s="16" t="n">
        <x:f>'Run Data'!AA30</x:f>
        <x:v>201.899671</x:v>
      </x:c>
      <x:c r="M30" s="16" t="n">
        <x:f>'Run Data'!AC84</x:f>
        <x:v>2</x:v>
      </x:c>
      <x:c r="N30" s="16" t="n">
        <x:f>'Run Data'!K30</x:f>
        <x:v>0.336509</x:v>
      </x:c>
      <x:c r="O30" s="16" t="n">
        <x:f>'Run Data'!K84</x:f>
        <x:v>2.834729</x:v>
      </x:c>
      <x:c r="P30" s="27" t="n">
        <x:f>O30/N30</x:f>
        <x:v>8.423932197950128</x:v>
      </x:c>
    </x:row>
    <x:row r="31">
      <x:c r="A31" t="str">
        <x:v>r202C5</x:v>
      </x:c>
      <x:c r="B31" s="15" t="n">
        <x:v>66</x:v>
      </x:c>
      <x:c r="C31" s="15" t="n">
        <x:v>5</x:v>
      </x:c>
      <x:c r="D31" s="15" t="n">
        <x:f>'Run Data'!I31</x:f>
        <x:v>1</x:v>
      </x:c>
      <x:c r="E31" s="15" t="n">
        <x:f>'Run Data'!I85</x:f>
        <x:v>1</x:v>
      </x:c>
      <x:c r="F31" s="15" t="n">
        <x:f>E31-D31</x:f>
        <x:v>0</x:v>
      </x:c>
      <x:c r="G31" s="26" t="str">
        <x:f>IF(F31&gt;0,"EV more",IF(F31&lt;0,"EV fewer","Same"))</x:f>
        <x:v>Same</x:v>
      </x:c>
      <x:c r="H31" s="16" t="n">
        <x:f>'Run Data'!J31</x:f>
        <x:v>140.535638</x:v>
      </x:c>
      <x:c r="I31" s="16" t="n">
        <x:f>'Run Data'!J85</x:f>
        <x:v>128.777139</x:v>
      </x:c>
      <x:c r="J31" s="16" t="n">
        <x:f>IF(F31=0,I31-H31,"")</x:f>
        <x:v>-11.758499</x:v>
      </x:c>
      <x:c r="K31" s="26" t="str">
        <x:f>IF(F31&lt;&gt;0,"Different vehicles",IF(J31&gt;'Protocol'!$B$13,"EV longer",IF(J31&lt;-'Protocol'!$B$13,"EV shorter","Tie")))</x:f>
        <x:v>EV shorter</x:v>
      </x:c>
      <x:c r="L31" s="16" t="n">
        <x:f>'Run Data'!AA31</x:f>
        <x:v>201.899671</x:v>
      </x:c>
      <x:c r="M31" s="16" t="n">
        <x:f>'Run Data'!AC85</x:f>
        <x:v>2</x:v>
      </x:c>
      <x:c r="N31" s="16" t="n">
        <x:f>'Run Data'!K31</x:f>
        <x:v>0.331175</x:v>
      </x:c>
      <x:c r="O31" s="16" t="n">
        <x:f>'Run Data'!K85</x:f>
        <x:v>2.88277</x:v>
      </x:c>
      <x:c r="P31" s="27" t="n">
        <x:f>O31/N31</x:f>
        <x:v>8.70467275609572</x:v>
      </x:c>
    </x:row>
    <x:row r="32">
      <x:c r="A32" t="str">
        <x:v>r201C10</x:v>
      </x:c>
      <x:c r="B32" s="15" t="n">
        <x:v>64</x:v>
      </x:c>
      <x:c r="C32" s="15" t="n">
        <x:v>10</x:v>
      </x:c>
      <x:c r="D32" s="15" t="n">
        <x:f>'Run Data'!I32</x:f>
        <x:v>1</x:v>
      </x:c>
      <x:c r="E32" s="15" t="n">
        <x:f>'Run Data'!I86</x:f>
        <x:v>2</x:v>
      </x:c>
      <x:c r="F32" s="15" t="n">
        <x:f>E32-D32</x:f>
        <x:v>1</x:v>
      </x:c>
      <x:c r="G32" s="26" t="str">
        <x:f>IF(F32&gt;0,"EV more",IF(F32&lt;0,"EV fewer","Same"))</x:f>
        <x:v>EV more</x:v>
      </x:c>
      <x:c r="H32" s="16" t="n">
        <x:f>'Run Data'!J32</x:f>
        <x:v>232.639282</x:v>
      </x:c>
      <x:c r="I32" s="16" t="n">
        <x:f>'Run Data'!J86</x:f>
        <x:v>228.355271</x:v>
      </x:c>
      <x:c r="J32" s="16" t="str">
        <x:f>IF(F32=0,I32-H32,"")</x:f>
      </x:c>
      <x:c r="K32" s="26" t="str">
        <x:f>IF(F32&lt;&gt;0,"Different vehicles",IF(J32&gt;'Protocol'!$B$13,"EV longer",IF(J32&lt;-'Protocol'!$B$13,"EV shorter","Tie")))</x:f>
        <x:v>Different vehicles</x:v>
      </x:c>
      <x:c r="L32" s="16" t="n">
        <x:f>'Run Data'!AA32</x:f>
        <x:v>834.636954</x:v>
      </x:c>
      <x:c r="M32" s="16" t="n">
        <x:f>'Run Data'!AC86</x:f>
        <x:v>3</x:v>
      </x:c>
      <x:c r="N32" s="16" t="n">
        <x:f>'Run Data'!K32</x:f>
        <x:v>1.258229</x:v>
      </x:c>
      <x:c r="O32" s="16" t="n">
        <x:f>'Run Data'!K86</x:f>
        <x:v>15.957447</x:v>
      </x:c>
      <x:c r="P32" s="27" t="n">
        <x:f>O32/N32</x:f>
        <x:v>12.682466387279263</x:v>
      </x:c>
    </x:row>
    <x:row r="33">
      <x:c r="A33" t="str">
        <x:v>r201C10</x:v>
      </x:c>
      <x:c r="B33" s="15" t="n">
        <x:v>65</x:v>
      </x:c>
      <x:c r="C33" s="15" t="n">
        <x:v>10</x:v>
      </x:c>
      <x:c r="D33" s="15" t="n">
        <x:f>'Run Data'!I33</x:f>
        <x:v>1</x:v>
      </x:c>
      <x:c r="E33" s="15" t="n">
        <x:f>'Run Data'!I87</x:f>
        <x:v>1</x:v>
      </x:c>
      <x:c r="F33" s="15" t="n">
        <x:f>E33-D33</x:f>
        <x:v>0</x:v>
      </x:c>
      <x:c r="G33" s="26" t="str">
        <x:f>IF(F33&gt;0,"EV more",IF(F33&lt;0,"EV fewer","Same"))</x:f>
        <x:v>Same</x:v>
      </x:c>
      <x:c r="H33" s="16" t="n">
        <x:f>'Run Data'!J33</x:f>
        <x:v>232.639282</x:v>
      </x:c>
      <x:c r="I33" s="16" t="n">
        <x:f>'Run Data'!J87</x:f>
        <x:v>241.505881</x:v>
      </x:c>
      <x:c r="J33" s="16" t="n">
        <x:f>IF(F33=0,I33-H33,"")</x:f>
        <x:v>8.86659899999998</x:v>
      </x:c>
      <x:c r="K33" s="26" t="str">
        <x:f>IF(F33&lt;&gt;0,"Different vehicles",IF(J33&gt;'Protocol'!$B$13,"EV longer",IF(J33&lt;-'Protocol'!$B$13,"EV shorter","Tie")))</x:f>
        <x:v>EV longer</x:v>
      </x:c>
      <x:c r="L33" s="16" t="n">
        <x:f>'Run Data'!AA33</x:f>
        <x:v>834.636954</x:v>
      </x:c>
      <x:c r="M33" s="16" t="n">
        <x:f>'Run Data'!AC87</x:f>
        <x:v>5</x:v>
      </x:c>
      <x:c r="N33" s="16" t="n">
        <x:f>'Run Data'!K33</x:f>
        <x:v>1.267645</x:v>
      </x:c>
      <x:c r="O33" s="16" t="n">
        <x:f>'Run Data'!K87</x:f>
        <x:v>27.340475</x:v>
      </x:c>
      <x:c r="P33" s="27" t="n">
        <x:f>O33/N33</x:f>
        <x:v>21.56792714048492</x:v>
      </x:c>
    </x:row>
    <x:row r="34">
      <x:c r="A34" t="str">
        <x:v>r201C10</x:v>
      </x:c>
      <x:c r="B34" s="15" t="n">
        <x:v>66</x:v>
      </x:c>
      <x:c r="C34" s="15" t="n">
        <x:v>10</x:v>
      </x:c>
      <x:c r="D34" s="15" t="n">
        <x:f>'Run Data'!I34</x:f>
        <x:v>1</x:v>
      </x:c>
      <x:c r="E34" s="15" t="n">
        <x:f>'Run Data'!I88</x:f>
        <x:v>1</x:v>
      </x:c>
      <x:c r="F34" s="15" t="n">
        <x:f>E34-D34</x:f>
        <x:v>0</x:v>
      </x:c>
      <x:c r="G34" s="26" t="str">
        <x:f>IF(F34&gt;0,"EV more",IF(F34&lt;0,"EV fewer","Same"))</x:f>
        <x:v>Same</x:v>
      </x:c>
      <x:c r="H34" s="16" t="n">
        <x:f>'Run Data'!J34</x:f>
        <x:v>232.639282</x:v>
      </x:c>
      <x:c r="I34" s="16" t="n">
        <x:f>'Run Data'!J88</x:f>
        <x:v>241.505881</x:v>
      </x:c>
      <x:c r="J34" s="16" t="n">
        <x:f>IF(F34=0,I34-H34,"")</x:f>
        <x:v>8.86659899999998</x:v>
      </x:c>
      <x:c r="K34" s="26" t="str">
        <x:f>IF(F34&lt;&gt;0,"Different vehicles",IF(J34&gt;'Protocol'!$B$13,"EV longer",IF(J34&lt;-'Protocol'!$B$13,"EV shorter","Tie")))</x:f>
        <x:v>EV longer</x:v>
      </x:c>
      <x:c r="L34" s="16" t="n">
        <x:f>'Run Data'!AA34</x:f>
        <x:v>834.636954</x:v>
      </x:c>
      <x:c r="M34" s="16" t="n">
        <x:f>'Run Data'!AC88</x:f>
        <x:v>5</x:v>
      </x:c>
      <x:c r="N34" s="16" t="n">
        <x:f>'Run Data'!K34</x:f>
        <x:v>1.698388</x:v>
      </x:c>
      <x:c r="O34" s="16" t="n">
        <x:f>'Run Data'!K88</x:f>
        <x:v>28.335103</x:v>
      </x:c>
      <x:c r="P34" s="27" t="n">
        <x:f>O34/N34</x:f>
        <x:v>16.683527556718488</x:v>
      </x:c>
    </x:row>
    <x:row r="35">
      <x:c r="A35" t="str">
        <x:v>r202C15</x:v>
      </x:c>
      <x:c r="B35" s="15" t="n">
        <x:v>64</x:v>
      </x:c>
      <x:c r="C35" s="15" t="n">
        <x:v>15</x:v>
      </x:c>
      <x:c r="D35" s="15" t="n">
        <x:f>'Run Data'!I35</x:f>
        <x:v>1</x:v>
      </x:c>
      <x:c r="E35" s="15" t="n">
        <x:f>'Run Data'!I89</x:f>
        <x:v>2</x:v>
      </x:c>
      <x:c r="F35" s="15" t="n">
        <x:f>E35-D35</x:f>
        <x:v>1</x:v>
      </x:c>
      <x:c r="G35" s="26" t="str">
        <x:f>IF(F35&gt;0,"EV more",IF(F35&lt;0,"EV fewer","Same"))</x:f>
        <x:v>EV more</x:v>
      </x:c>
      <x:c r="H35" s="16" t="n">
        <x:f>'Run Data'!J35</x:f>
        <x:v>405.634457</x:v>
      </x:c>
      <x:c r="I35" s="16" t="n">
        <x:f>'Run Data'!J89</x:f>
        <x:v>358.004778</x:v>
      </x:c>
      <x:c r="J35" s="16" t="str">
        <x:f>IF(F35=0,I35-H35,"")</x:f>
      </x:c>
      <x:c r="K35" s="26" t="str">
        <x:f>IF(F35&lt;&gt;0,"Different vehicles",IF(J35&gt;'Protocol'!$B$13,"EV longer",IF(J35&lt;-'Protocol'!$B$13,"EV shorter","Tie")))</x:f>
        <x:v>Different vehicles</x:v>
      </x:c>
      <x:c r="L35" s="16" t="n">
        <x:f>'Run Data'!AA35</x:f>
        <x:v>2495.79573</x:v>
      </x:c>
      <x:c r="M35" s="16" t="n">
        <x:f>'Run Data'!AC89</x:f>
        <x:v>6</x:v>
      </x:c>
      <x:c r="N35" s="16" t="n">
        <x:f>'Run Data'!K35</x:f>
        <x:v>5.506101</x:v>
      </x:c>
      <x:c r="O35" s="16" t="n">
        <x:f>'Run Data'!K89</x:f>
        <x:v>180.584925</x:v>
      </x:c>
      <x:c r="P35" s="27" t="n">
        <x:f>O35/N35</x:f>
        <x:v>32.797241641589935</x:v>
      </x:c>
    </x:row>
    <x:row r="36">
      <x:c r="A36" t="str">
        <x:v>r202C15</x:v>
      </x:c>
      <x:c r="B36" s="15" t="n">
        <x:v>65</x:v>
      </x:c>
      <x:c r="C36" s="15" t="n">
        <x:v>15</x:v>
      </x:c>
      <x:c r="D36" s="15" t="n">
        <x:f>'Run Data'!I36</x:f>
        <x:v>1</x:v>
      </x:c>
      <x:c r="E36" s="15" t="n">
        <x:f>'Run Data'!I90</x:f>
        <x:v>2</x:v>
      </x:c>
      <x:c r="F36" s="15" t="n">
        <x:f>E36-D36</x:f>
        <x:v>1</x:v>
      </x:c>
      <x:c r="G36" s="26" t="str">
        <x:f>IF(F36&gt;0,"EV more",IF(F36&lt;0,"EV fewer","Same"))</x:f>
        <x:v>EV more</x:v>
      </x:c>
      <x:c r="H36" s="16" t="n">
        <x:f>'Run Data'!J36</x:f>
        <x:v>405.634457</x:v>
      </x:c>
      <x:c r="I36" s="16" t="n">
        <x:f>'Run Data'!J90</x:f>
        <x:v>406.804399</x:v>
      </x:c>
      <x:c r="J36" s="16" t="str">
        <x:f>IF(F36=0,I36-H36,"")</x:f>
      </x:c>
      <x:c r="K36" s="26" t="str">
        <x:f>IF(F36&lt;&gt;0,"Different vehicles",IF(J36&gt;'Protocol'!$B$13,"EV longer",IF(J36&lt;-'Protocol'!$B$13,"EV shorter","Tie")))</x:f>
        <x:v>Different vehicles</x:v>
      </x:c>
      <x:c r="L36" s="16" t="n">
        <x:f>'Run Data'!AA36</x:f>
        <x:v>2495.79573</x:v>
      </x:c>
      <x:c r="M36" s="16" t="n">
        <x:f>'Run Data'!AC90</x:f>
        <x:v>7</x:v>
      </x:c>
      <x:c r="N36" s="16" t="n">
        <x:f>'Run Data'!K36</x:f>
        <x:v>4.866579</x:v>
      </x:c>
      <x:c r="O36" s="16" t="n">
        <x:f>'Run Data'!K90</x:f>
        <x:v>293.469101</x:v>
      </x:c>
      <x:c r="P36" s="27" t="n">
        <x:f>O36/N36</x:f>
        <x:v>60.302956347775314</x:v>
      </x:c>
    </x:row>
    <x:row r="37">
      <x:c r="A37" t="str">
        <x:v>r202C15</x:v>
      </x:c>
      <x:c r="B37" s="15" t="n">
        <x:v>66</x:v>
      </x:c>
      <x:c r="C37" s="15" t="n">
        <x:v>15</x:v>
      </x:c>
      <x:c r="D37" s="15" t="n">
        <x:f>'Run Data'!I37</x:f>
        <x:v>1</x:v>
      </x:c>
      <x:c r="E37" s="15" t="n">
        <x:f>'Run Data'!I91</x:f>
        <x:v>2</x:v>
      </x:c>
      <x:c r="F37" s="15" t="n">
        <x:f>E37-D37</x:f>
        <x:v>1</x:v>
      </x:c>
      <x:c r="G37" s="26" t="str">
        <x:f>IF(F37&gt;0,"EV more",IF(F37&lt;0,"EV fewer","Same"))</x:f>
        <x:v>EV more</x:v>
      </x:c>
      <x:c r="H37" s="16" t="n">
        <x:f>'Run Data'!J37</x:f>
        <x:v>405.634457</x:v>
      </x:c>
      <x:c r="I37" s="16" t="n">
        <x:f>'Run Data'!J91</x:f>
        <x:v>358.004778</x:v>
      </x:c>
      <x:c r="J37" s="16" t="str">
        <x:f>IF(F37=0,I37-H37,"")</x:f>
      </x:c>
      <x:c r="K37" s="26" t="str">
        <x:f>IF(F37&lt;&gt;0,"Different vehicles",IF(J37&gt;'Protocol'!$B$13,"EV longer",IF(J37&lt;-'Protocol'!$B$13,"EV shorter","Tie")))</x:f>
        <x:v>Different vehicles</x:v>
      </x:c>
      <x:c r="L37" s="16" t="n">
        <x:f>'Run Data'!AA37</x:f>
        <x:v>2495.79573</x:v>
      </x:c>
      <x:c r="M37" s="16" t="n">
        <x:f>'Run Data'!AC91</x:f>
        <x:v>6</x:v>
      </x:c>
      <x:c r="N37" s="16" t="n">
        <x:f>'Run Data'!K37</x:f>
        <x:v>5.027248</x:v>
      </x:c>
      <x:c r="O37" s="16" t="n">
        <x:f>'Run Data'!K91</x:f>
        <x:v>174.530089</x:v>
      </x:c>
      <x:c r="P37" s="27" t="n">
        <x:f>O37/N37</x:f>
        <x:v>34.7168249905316</x:v>
      </x:c>
    </x:row>
    <x:row r="38">
      <x:c r="A38" t="str">
        <x:v>rc105C5</x:v>
      </x:c>
      <x:c r="B38" s="15" t="n">
        <x:v>64</x:v>
      </x:c>
      <x:c r="C38" s="15" t="n">
        <x:v>5</x:v>
      </x:c>
      <x:c r="D38" s="15" t="n">
        <x:f>'Run Data'!I38</x:f>
        <x:v>2</x:v>
      </x:c>
      <x:c r="E38" s="15" t="n">
        <x:f>'Run Data'!I92</x:f>
        <x:v>3</x:v>
      </x:c>
      <x:c r="F38" s="15" t="n">
        <x:f>E38-D38</x:f>
        <x:v>1</x:v>
      </x:c>
      <x:c r="G38" s="26" t="str">
        <x:f>IF(F38&gt;0,"EV more",IF(F38&lt;0,"EV fewer","Same"))</x:f>
        <x:v>EV more</x:v>
      </x:c>
      <x:c r="H38" s="16" t="n">
        <x:f>'Run Data'!J38</x:f>
        <x:v>227.184742</x:v>
      </x:c>
      <x:c r="I38" s="16" t="n">
        <x:f>'Run Data'!J92</x:f>
        <x:v>238.052232</x:v>
      </x:c>
      <x:c r="J38" s="16" t="str">
        <x:f>IF(F38=0,I38-H38,"")</x:f>
      </x:c>
      <x:c r="K38" s="26" t="str">
        <x:f>IF(F38&lt;&gt;0,"Different vehicles",IF(J38&gt;'Protocol'!$B$13,"EV longer",IF(J38&lt;-'Protocol'!$B$13,"EV shorter","Tie")))</x:f>
        <x:v>Different vehicles</x:v>
      </x:c>
      <x:c r="L38" s="16" t="n">
        <x:f>'Run Data'!AA38</x:f>
        <x:v>105.493924</x:v>
      </x:c>
      <x:c r="M38" s="16" t="n">
        <x:f>'Run Data'!AC92</x:f>
        <x:v>1</x:v>
      </x:c>
      <x:c r="N38" s="16" t="n">
        <x:f>'Run Data'!K38</x:f>
        <x:v>0.346664</x:v>
      </x:c>
      <x:c r="O38" s="16" t="n">
        <x:f>'Run Data'!K92</x:f>
        <x:v>1.200469</x:v>
      </x:c>
      <x:c r="P38" s="27" t="n">
        <x:f>O38/N38</x:f>
        <x:v>3.462917983984492</x:v>
      </x:c>
    </x:row>
    <x:row r="39">
      <x:c r="A39" t="str">
        <x:v>rc105C5</x:v>
      </x:c>
      <x:c r="B39" s="15" t="n">
        <x:v>65</x:v>
      </x:c>
      <x:c r="C39" s="15" t="n">
        <x:v>5</x:v>
      </x:c>
      <x:c r="D39" s="15" t="n">
        <x:f>'Run Data'!I39</x:f>
        <x:v>2</x:v>
      </x:c>
      <x:c r="E39" s="15" t="n">
        <x:f>'Run Data'!I93</x:f>
        <x:v>3</x:v>
      </x:c>
      <x:c r="F39" s="15" t="n">
        <x:f>E39-D39</x:f>
        <x:v>1</x:v>
      </x:c>
      <x:c r="G39" s="26" t="str">
        <x:f>IF(F39&gt;0,"EV more",IF(F39&lt;0,"EV fewer","Same"))</x:f>
        <x:v>EV more</x:v>
      </x:c>
      <x:c r="H39" s="16" t="n">
        <x:f>'Run Data'!J39</x:f>
        <x:v>227.184742</x:v>
      </x:c>
      <x:c r="I39" s="16" t="n">
        <x:f>'Run Data'!J93</x:f>
        <x:v>238.052232</x:v>
      </x:c>
      <x:c r="J39" s="16" t="str">
        <x:f>IF(F39=0,I39-H39,"")</x:f>
      </x:c>
      <x:c r="K39" s="26" t="str">
        <x:f>IF(F39&lt;&gt;0,"Different vehicles",IF(J39&gt;'Protocol'!$B$13,"EV longer",IF(J39&lt;-'Protocol'!$B$13,"EV shorter","Tie")))</x:f>
        <x:v>Different vehicles</x:v>
      </x:c>
      <x:c r="L39" s="16" t="n">
        <x:f>'Run Data'!AA39</x:f>
        <x:v>105.493924</x:v>
      </x:c>
      <x:c r="M39" s="16" t="n">
        <x:f>'Run Data'!AC93</x:f>
        <x:v>1</x:v>
      </x:c>
      <x:c r="N39" s="16" t="n">
        <x:f>'Run Data'!K39</x:f>
        <x:v>0.337514</x:v>
      </x:c>
      <x:c r="O39" s="16" t="n">
        <x:f>'Run Data'!K93</x:f>
        <x:v>1.169266</x:v>
      </x:c>
      <x:c r="P39" s="27" t="n">
        <x:f>O39/N39</x:f>
        <x:v>3.4643481455584064</x:v>
      </x:c>
    </x:row>
    <x:row r="40">
      <x:c r="A40" t="str">
        <x:v>rc105C5</x:v>
      </x:c>
      <x:c r="B40" s="15" t="n">
        <x:v>66</x:v>
      </x:c>
      <x:c r="C40" s="15" t="n">
        <x:v>5</x:v>
      </x:c>
      <x:c r="D40" s="15" t="n">
        <x:f>'Run Data'!I40</x:f>
        <x:v>2</x:v>
      </x:c>
      <x:c r="E40" s="15" t="n">
        <x:f>'Run Data'!I94</x:f>
        <x:v>3</x:v>
      </x:c>
      <x:c r="F40" s="15" t="n">
        <x:f>E40-D40</x:f>
        <x:v>1</x:v>
      </x:c>
      <x:c r="G40" s="26" t="str">
        <x:f>IF(F40&gt;0,"EV more",IF(F40&lt;0,"EV fewer","Same"))</x:f>
        <x:v>EV more</x:v>
      </x:c>
      <x:c r="H40" s="16" t="n">
        <x:f>'Run Data'!J40</x:f>
        <x:v>227.184742</x:v>
      </x:c>
      <x:c r="I40" s="16" t="n">
        <x:f>'Run Data'!J94</x:f>
        <x:v>238.052232</x:v>
      </x:c>
      <x:c r="J40" s="16" t="str">
        <x:f>IF(F40=0,I40-H40,"")</x:f>
      </x:c>
      <x:c r="K40" s="26" t="str">
        <x:f>IF(F40&lt;&gt;0,"Different vehicles",IF(J40&gt;'Protocol'!$B$13,"EV longer",IF(J40&lt;-'Protocol'!$B$13,"EV shorter","Tie")))</x:f>
        <x:v>Different vehicles</x:v>
      </x:c>
      <x:c r="L40" s="16" t="n">
        <x:f>'Run Data'!AA40</x:f>
        <x:v>105.493924</x:v>
      </x:c>
      <x:c r="M40" s="16" t="n">
        <x:f>'Run Data'!AC94</x:f>
        <x:v>1</x:v>
      </x:c>
      <x:c r="N40" s="16" t="n">
        <x:f>'Run Data'!K40</x:f>
        <x:v>0.362417</x:v>
      </x:c>
      <x:c r="O40" s="16" t="n">
        <x:f>'Run Data'!K94</x:f>
        <x:v>1.200468</x:v>
      </x:c>
      <x:c r="P40" s="27" t="n">
        <x:f>O40/N40</x:f>
        <x:v>3.312394286139999</x:v>
      </x:c>
    </x:row>
    <x:row r="41">
      <x:c r="A41" t="str">
        <x:v>rc102C10</x:v>
      </x:c>
      <x:c r="B41" s="15" t="n">
        <x:v>64</x:v>
      </x:c>
      <x:c r="C41" s="15" t="n">
        <x:v>10</x:v>
      </x:c>
      <x:c r="D41" s="15" t="n">
        <x:f>'Run Data'!I41</x:f>
        <x:v>3</x:v>
      </x:c>
      <x:c r="E41" s="15" t="n">
        <x:f>'Run Data'!I95</x:f>
        <x:v>4</x:v>
      </x:c>
      <x:c r="F41" s="15" t="n">
        <x:f>E41-D41</x:f>
        <x:v>1</x:v>
      </x:c>
      <x:c r="G41" s="26" t="str">
        <x:f>IF(F41&gt;0,"EV more",IF(F41&lt;0,"EV fewer","Same"))</x:f>
        <x:v>EV more</x:v>
      </x:c>
      <x:c r="H41" s="16" t="n">
        <x:f>'Run Data'!J41</x:f>
        <x:v>384.749645</x:v>
      </x:c>
      <x:c r="I41" s="16" t="n">
        <x:f>'Run Data'!J95</x:f>
        <x:v>423.510182</x:v>
      </x:c>
      <x:c r="J41" s="16" t="str">
        <x:f>IF(F41=0,I41-H41,"")</x:f>
      </x:c>
      <x:c r="K41" s="26" t="str">
        <x:f>IF(F41&lt;&gt;0,"Different vehicles",IF(J41&gt;'Protocol'!$B$13,"EV longer",IF(J41&lt;-'Protocol'!$B$13,"EV shorter","Tie")))</x:f>
        <x:v>Different vehicles</x:v>
      </x:c>
      <x:c r="L41" s="16" t="n">
        <x:f>'Run Data'!AA41</x:f>
        <x:v>224.123838</x:v>
      </x:c>
      <x:c r="M41" s="16" t="n">
        <x:f>'Run Data'!AC95</x:f>
        <x:v>3</x:v>
      </x:c>
      <x:c r="N41" s="16" t="n">
        <x:f>'Run Data'!K41</x:f>
        <x:v>1.805856</x:v>
      </x:c>
      <x:c r="O41" s="16" t="n">
        <x:f>'Run Data'!K95</x:f>
        <x:v>9.157004</x:v>
      </x:c>
      <x:c r="P41" s="27" t="n">
        <x:f>O41/N41</x:f>
        <x:v>5.0707276770683825</x:v>
      </x:c>
    </x:row>
    <x:row r="42">
      <x:c r="A42" t="str">
        <x:v>rc102C10</x:v>
      </x:c>
      <x:c r="B42" s="15" t="n">
        <x:v>65</x:v>
      </x:c>
      <x:c r="C42" s="15" t="n">
        <x:v>10</x:v>
      </x:c>
      <x:c r="D42" s="15" t="n">
        <x:f>'Run Data'!I42</x:f>
        <x:v>3</x:v>
      </x:c>
      <x:c r="E42" s="15" t="n">
        <x:f>'Run Data'!I96</x:f>
        <x:v>4</x:v>
      </x:c>
      <x:c r="F42" s="15" t="n">
        <x:f>E42-D42</x:f>
        <x:v>1</x:v>
      </x:c>
      <x:c r="G42" s="26" t="str">
        <x:f>IF(F42&gt;0,"EV more",IF(F42&lt;0,"EV fewer","Same"))</x:f>
        <x:v>EV more</x:v>
      </x:c>
      <x:c r="H42" s="16" t="n">
        <x:f>'Run Data'!J42</x:f>
        <x:v>384.749645</x:v>
      </x:c>
      <x:c r="I42" s="16" t="n">
        <x:f>'Run Data'!J96</x:f>
        <x:v>423.510182</x:v>
      </x:c>
      <x:c r="J42" s="16" t="str">
        <x:f>IF(F42=0,I42-H42,"")</x:f>
      </x:c>
      <x:c r="K42" s="26" t="str">
        <x:f>IF(F42&lt;&gt;0,"Different vehicles",IF(J42&gt;'Protocol'!$B$13,"EV longer",IF(J42&lt;-'Protocol'!$B$13,"EV shorter","Tie")))</x:f>
        <x:v>Different vehicles</x:v>
      </x:c>
      <x:c r="L42" s="16" t="n">
        <x:f>'Run Data'!AA42</x:f>
        <x:v>224.123838</x:v>
      </x:c>
      <x:c r="M42" s="16" t="n">
        <x:f>'Run Data'!AC96</x:f>
        <x:v>3</x:v>
      </x:c>
      <x:c r="N42" s="16" t="n">
        <x:f>'Run Data'!K42</x:f>
        <x:v>1.72772</x:v>
      </x:c>
      <x:c r="O42" s="16" t="n">
        <x:f>'Run Data'!K96</x:f>
        <x:v>8.805708</x:v>
      </x:c>
      <x:c r="P42" s="27" t="n">
        <x:f>O42/N42</x:f>
        <x:v>5.096721691014747</x:v>
      </x:c>
    </x:row>
    <x:row r="43">
      <x:c r="A43" t="str">
        <x:v>rc102C10</x:v>
      </x:c>
      <x:c r="B43" s="15" t="n">
        <x:v>66</x:v>
      </x:c>
      <x:c r="C43" s="15" t="n">
        <x:v>10</x:v>
      </x:c>
      <x:c r="D43" s="15" t="n">
        <x:f>'Run Data'!I43</x:f>
        <x:v>3</x:v>
      </x:c>
      <x:c r="E43" s="15" t="n">
        <x:f>'Run Data'!I97</x:f>
        <x:v>4</x:v>
      </x:c>
      <x:c r="F43" s="15" t="n">
        <x:f>E43-D43</x:f>
        <x:v>1</x:v>
      </x:c>
      <x:c r="G43" s="26" t="str">
        <x:f>IF(F43&gt;0,"EV more",IF(F43&lt;0,"EV fewer","Same"))</x:f>
        <x:v>EV more</x:v>
      </x:c>
      <x:c r="H43" s="16" t="n">
        <x:f>'Run Data'!J43</x:f>
        <x:v>384.749645</x:v>
      </x:c>
      <x:c r="I43" s="16" t="n">
        <x:f>'Run Data'!J97</x:f>
        <x:v>423.510182</x:v>
      </x:c>
      <x:c r="J43" s="16" t="str">
        <x:f>IF(F43=0,I43-H43,"")</x:f>
      </x:c>
      <x:c r="K43" s="26" t="str">
        <x:f>IF(F43&lt;&gt;0,"Different vehicles",IF(J43&gt;'Protocol'!$B$13,"EV longer",IF(J43&lt;-'Protocol'!$B$13,"EV shorter","Tie")))</x:f>
        <x:v>Different vehicles</x:v>
      </x:c>
      <x:c r="L43" s="16" t="n">
        <x:f>'Run Data'!AA43</x:f>
        <x:v>224.123838</x:v>
      </x:c>
      <x:c r="M43" s="16" t="n">
        <x:f>'Run Data'!AC97</x:f>
        <x:v>3</x:v>
      </x:c>
      <x:c r="N43" s="16" t="n">
        <x:f>'Run Data'!K43</x:f>
        <x:v>1.712815</x:v>
      </x:c>
      <x:c r="O43" s="16" t="n">
        <x:f>'Run Data'!K97</x:f>
        <x:v>9.372135</x:v>
      </x:c>
      <x:c r="P43" s="27" t="n">
        <x:f>O43/N43</x:f>
        <x:v>5.471773075317533</x:v>
      </x:c>
    </x:row>
    <x:row r="44">
      <x:c r="A44" t="str">
        <x:v>rc103C15</x:v>
      </x:c>
      <x:c r="B44" s="15" t="n">
        <x:v>64</x:v>
      </x:c>
      <x:c r="C44" s="15" t="n">
        <x:v>15</x:v>
      </x:c>
      <x:c r="D44" s="15" t="n">
        <x:f>'Run Data'!I44</x:f>
        <x:v>3</x:v>
      </x:c>
      <x:c r="E44" s="15" t="n">
        <x:f>'Run Data'!I98</x:f>
        <x:v>4</x:v>
      </x:c>
      <x:c r="F44" s="15" t="n">
        <x:f>E44-D44</x:f>
        <x:v>1</x:v>
      </x:c>
      <x:c r="G44" s="26" t="str">
        <x:f>IF(F44&gt;0,"EV more",IF(F44&lt;0,"EV fewer","Same"))</x:f>
        <x:v>EV more</x:v>
      </x:c>
      <x:c r="H44" s="16" t="n">
        <x:f>'Run Data'!J44</x:f>
        <x:v>510.998472</x:v>
      </x:c>
      <x:c r="I44" s="16" t="n">
        <x:f>'Run Data'!J98</x:f>
        <x:v>397.669857</x:v>
      </x:c>
      <x:c r="J44" s="16" t="str">
        <x:f>IF(F44=0,I44-H44,"")</x:f>
      </x:c>
      <x:c r="K44" s="26" t="str">
        <x:f>IF(F44&lt;&gt;0,"Different vehicles",IF(J44&gt;'Protocol'!$B$13,"EV longer",IF(J44&lt;-'Protocol'!$B$13,"EV shorter","Tie")))</x:f>
        <x:v>Different vehicles</x:v>
      </x:c>
      <x:c r="L44" s="16" t="n">
        <x:f>'Run Data'!AA44</x:f>
        <x:v>543.342608</x:v>
      </x:c>
      <x:c r="M44" s="16" t="n">
        <x:f>'Run Data'!AC98</x:f>
        <x:v>4</x:v>
      </x:c>
      <x:c r="N44" s="16" t="n">
        <x:f>'Run Data'!K44</x:f>
        <x:v>6.953339</x:v>
      </x:c>
      <x:c r="O44" s="16" t="n">
        <x:f>'Run Data'!K98</x:f>
        <x:v>48.269425</x:v>
      </x:c>
      <x:c r="P44" s="27" t="n">
        <x:f>O44/N44</x:f>
        <x:v>6.941905895858091</x:v>
      </x:c>
    </x:row>
    <x:row r="45">
      <x:c r="A45" t="str">
        <x:v>rc103C15</x:v>
      </x:c>
      <x:c r="B45" s="15" t="n">
        <x:v>65</x:v>
      </x:c>
      <x:c r="C45" s="15" t="n">
        <x:v>15</x:v>
      </x:c>
      <x:c r="D45" s="15" t="n">
        <x:f>'Run Data'!I45</x:f>
        <x:v>3</x:v>
      </x:c>
      <x:c r="E45" s="15" t="n">
        <x:f>'Run Data'!I99</x:f>
        <x:v>4</x:v>
      </x:c>
      <x:c r="F45" s="15" t="n">
        <x:f>E45-D45</x:f>
        <x:v>1</x:v>
      </x:c>
      <x:c r="G45" s="26" t="str">
        <x:f>IF(F45&gt;0,"EV more",IF(F45&lt;0,"EV fewer","Same"))</x:f>
        <x:v>EV more</x:v>
      </x:c>
      <x:c r="H45" s="16" t="n">
        <x:f>'Run Data'!J45</x:f>
        <x:v>510.998472</x:v>
      </x:c>
      <x:c r="I45" s="16" t="n">
        <x:f>'Run Data'!J99</x:f>
        <x:v>397.669857</x:v>
      </x:c>
      <x:c r="J45" s="16" t="str">
        <x:f>IF(F45=0,I45-H45,"")</x:f>
      </x:c>
      <x:c r="K45" s="26" t="str">
        <x:f>IF(F45&lt;&gt;0,"Different vehicles",IF(J45&gt;'Protocol'!$B$13,"EV longer",IF(J45&lt;-'Protocol'!$B$13,"EV shorter","Tie")))</x:f>
        <x:v>Different vehicles</x:v>
      </x:c>
      <x:c r="L45" s="16" t="n">
        <x:f>'Run Data'!AA45</x:f>
        <x:v>543.342608</x:v>
      </x:c>
      <x:c r="M45" s="16" t="n">
        <x:f>'Run Data'!AC99</x:f>
        <x:v>4</x:v>
      </x:c>
      <x:c r="N45" s="16" t="n">
        <x:f>'Run Data'!K45</x:f>
        <x:v>6.969959</x:v>
      </x:c>
      <x:c r="O45" s="16" t="n">
        <x:f>'Run Data'!K99</x:f>
        <x:v>52.741467</x:v>
      </x:c>
      <x:c r="P45" s="27" t="n">
        <x:f>O45/N45</x:f>
        <x:v>7.566969475717145</x:v>
      </x:c>
    </x:row>
    <x:row r="46">
      <x:c r="A46" t="str">
        <x:v>rc103C15</x:v>
      </x:c>
      <x:c r="B46" s="15" t="n">
        <x:v>66</x:v>
      </x:c>
      <x:c r="C46" s="15" t="n">
        <x:v>15</x:v>
      </x:c>
      <x:c r="D46" s="15" t="n">
        <x:f>'Run Data'!I46</x:f>
        <x:v>3</x:v>
      </x:c>
      <x:c r="E46" s="15" t="n">
        <x:f>'Run Data'!I100</x:f>
        <x:v>4</x:v>
      </x:c>
      <x:c r="F46" s="15" t="n">
        <x:f>E46-D46</x:f>
        <x:v>1</x:v>
      </x:c>
      <x:c r="G46" s="26" t="str">
        <x:f>IF(F46&gt;0,"EV more",IF(F46&lt;0,"EV fewer","Same"))</x:f>
        <x:v>EV more</x:v>
      </x:c>
      <x:c r="H46" s="16" t="n">
        <x:f>'Run Data'!J46</x:f>
        <x:v>510.998472</x:v>
      </x:c>
      <x:c r="I46" s="16" t="n">
        <x:f>'Run Data'!J100</x:f>
        <x:v>397.669857</x:v>
      </x:c>
      <x:c r="J46" s="16" t="str">
        <x:f>IF(F46=0,I46-H46,"")</x:f>
      </x:c>
      <x:c r="K46" s="26" t="str">
        <x:f>IF(F46&lt;&gt;0,"Different vehicles",IF(J46&gt;'Protocol'!$B$13,"EV longer",IF(J46&lt;-'Protocol'!$B$13,"EV shorter","Tie")))</x:f>
        <x:v>Different vehicles</x:v>
      </x:c>
      <x:c r="L46" s="16" t="n">
        <x:f>'Run Data'!AA46</x:f>
        <x:v>543.342608</x:v>
      </x:c>
      <x:c r="M46" s="16" t="n">
        <x:f>'Run Data'!AC100</x:f>
        <x:v>4</x:v>
      </x:c>
      <x:c r="N46" s="16" t="n">
        <x:f>'Run Data'!K46</x:f>
        <x:v>5.928152</x:v>
      </x:c>
      <x:c r="O46" s="16" t="n">
        <x:f>'Run Data'!K100</x:f>
        <x:v>55.397534</x:v>
      </x:c>
      <x:c r="P46" s="27" t="n">
        <x:f>O46/N46</x:f>
        <x:v>9.344823479559903</x:v>
      </x:c>
    </x:row>
    <x:row r="47">
      <x:c r="A47" t="str">
        <x:v>rc204C5</x:v>
      </x:c>
      <x:c r="B47" s="15" t="n">
        <x:v>64</x:v>
      </x:c>
      <x:c r="C47" s="15" t="n">
        <x:v>5</x:v>
      </x:c>
      <x:c r="D47" s="15" t="n">
        <x:f>'Run Data'!I47</x:f>
        <x:v>1</x:v>
      </x:c>
      <x:c r="E47" s="15" t="n">
        <x:f>'Run Data'!I101</x:f>
        <x:v>1</x:v>
      </x:c>
      <x:c r="F47" s="15" t="n">
        <x:f>E47-D47</x:f>
        <x:v>0</x:v>
      </x:c>
      <x:c r="G47" s="26" t="str">
        <x:f>IF(F47&gt;0,"EV more",IF(F47&lt;0,"EV fewer","Same"))</x:f>
        <x:v>Same</x:v>
      </x:c>
      <x:c r="H47" s="16" t="n">
        <x:f>'Run Data'!J47</x:f>
        <x:v>172.027624</x:v>
      </x:c>
      <x:c r="I47" s="16" t="n">
        <x:f>'Run Data'!J101</x:f>
        <x:v>179.162472</x:v>
      </x:c>
      <x:c r="J47" s="16" t="n">
        <x:f>IF(F47=0,I47-H47,"")</x:f>
        <x:v>7.134848000000005</x:v>
      </x:c>
      <x:c r="K47" s="26" t="str">
        <x:f>IF(F47&lt;&gt;0,"Different vehicles",IF(J47&gt;'Protocol'!$B$13,"EV longer",IF(J47&lt;-'Protocol'!$B$13,"EV shorter","Tie")))</x:f>
        <x:v>EV longer</x:v>
      </x:c>
      <x:c r="L47" s="16" t="n">
        <x:f>'Run Data'!AA47</x:f>
        <x:v>222.349134</x:v>
      </x:c>
      <x:c r="M47" s="16" t="n">
        <x:f>'Run Data'!AC101</x:f>
        <x:v>2</x:v>
      </x:c>
      <x:c r="N47" s="16" t="n">
        <x:f>'Run Data'!K47</x:f>
        <x:v>0.437182</x:v>
      </x:c>
      <x:c r="O47" s="16" t="n">
        <x:f>'Run Data'!K101</x:f>
        <x:v>3.448381</x:v>
      </x:c>
      <x:c r="P47" s="27" t="n">
        <x:f>O47/N47</x:f>
        <x:v>7.887746979518827</x:v>
      </x:c>
    </x:row>
    <x:row r="48">
      <x:c r="A48" t="str">
        <x:v>rc204C5</x:v>
      </x:c>
      <x:c r="B48" s="15" t="n">
        <x:v>65</x:v>
      </x:c>
      <x:c r="C48" s="15" t="n">
        <x:v>5</x:v>
      </x:c>
      <x:c r="D48" s="15" t="n">
        <x:f>'Run Data'!I48</x:f>
        <x:v>1</x:v>
      </x:c>
      <x:c r="E48" s="15" t="n">
        <x:f>'Run Data'!I102</x:f>
        <x:v>1</x:v>
      </x:c>
      <x:c r="F48" s="15" t="n">
        <x:f>E48-D48</x:f>
        <x:v>0</x:v>
      </x:c>
      <x:c r="G48" s="26" t="str">
        <x:f>IF(F48&gt;0,"EV more",IF(F48&lt;0,"EV fewer","Same"))</x:f>
        <x:v>Same</x:v>
      </x:c>
      <x:c r="H48" s="16" t="n">
        <x:f>'Run Data'!J48</x:f>
        <x:v>172.027624</x:v>
      </x:c>
      <x:c r="I48" s="16" t="n">
        <x:f>'Run Data'!J102</x:f>
        <x:v>179.162472</x:v>
      </x:c>
      <x:c r="J48" s="16" t="n">
        <x:f>IF(F48=0,I48-H48,"")</x:f>
        <x:v>7.134848000000005</x:v>
      </x:c>
      <x:c r="K48" s="26" t="str">
        <x:f>IF(F48&lt;&gt;0,"Different vehicles",IF(J48&gt;'Protocol'!$B$13,"EV longer",IF(J48&lt;-'Protocol'!$B$13,"EV shorter","Tie")))</x:f>
        <x:v>EV longer</x:v>
      </x:c>
      <x:c r="L48" s="16" t="n">
        <x:f>'Run Data'!AA48</x:f>
        <x:v>222.349134</x:v>
      </x:c>
      <x:c r="M48" s="16" t="n">
        <x:f>'Run Data'!AC102</x:f>
        <x:v>2</x:v>
      </x:c>
      <x:c r="N48" s="16" t="n">
        <x:f>'Run Data'!K48</x:f>
        <x:v>0.394708</x:v>
      </x:c>
      <x:c r="O48" s="16" t="n">
        <x:f>'Run Data'!K102</x:f>
        <x:v>3.629286</x:v>
      </x:c>
      <x:c r="P48" s="27" t="n">
        <x:f>O48/N48</x:f>
        <x:v>9.194863037992643</x:v>
      </x:c>
    </x:row>
    <x:row r="49">
      <x:c r="A49" t="str">
        <x:v>rc204C5</x:v>
      </x:c>
      <x:c r="B49" s="15" t="n">
        <x:v>66</x:v>
      </x:c>
      <x:c r="C49" s="15" t="n">
        <x:v>5</x:v>
      </x:c>
      <x:c r="D49" s="15" t="n">
        <x:f>'Run Data'!I49</x:f>
        <x:v>1</x:v>
      </x:c>
      <x:c r="E49" s="15" t="n">
        <x:f>'Run Data'!I103</x:f>
        <x:v>1</x:v>
      </x:c>
      <x:c r="F49" s="15" t="n">
        <x:f>E49-D49</x:f>
        <x:v>0</x:v>
      </x:c>
      <x:c r="G49" s="26" t="str">
        <x:f>IF(F49&gt;0,"EV more",IF(F49&lt;0,"EV fewer","Same"))</x:f>
        <x:v>Same</x:v>
      </x:c>
      <x:c r="H49" s="16" t="n">
        <x:f>'Run Data'!J49</x:f>
        <x:v>172.027624</x:v>
      </x:c>
      <x:c r="I49" s="16" t="n">
        <x:f>'Run Data'!J103</x:f>
        <x:v>179.162472</x:v>
      </x:c>
      <x:c r="J49" s="16" t="n">
        <x:f>IF(F49=0,I49-H49,"")</x:f>
        <x:v>7.134848000000005</x:v>
      </x:c>
      <x:c r="K49" s="26" t="str">
        <x:f>IF(F49&lt;&gt;0,"Different vehicles",IF(J49&gt;'Protocol'!$B$13,"EV longer",IF(J49&lt;-'Protocol'!$B$13,"EV shorter","Tie")))</x:f>
        <x:v>EV longer</x:v>
      </x:c>
      <x:c r="L49" s="16" t="n">
        <x:f>'Run Data'!AA49</x:f>
        <x:v>222.349134</x:v>
      </x:c>
      <x:c r="M49" s="16" t="n">
        <x:f>'Run Data'!AC103</x:f>
        <x:v>2</x:v>
      </x:c>
      <x:c r="N49" s="16" t="n">
        <x:f>'Run Data'!K49</x:f>
        <x:v>0.423504</x:v>
      </x:c>
      <x:c r="O49" s="16" t="n">
        <x:f>'Run Data'!K103</x:f>
        <x:v>3.565897</x:v>
      </x:c>
      <x:c r="P49" s="27" t="n">
        <x:f>O49/N49</x:f>
        <x:v>8.419984226831389</x:v>
      </x:c>
    </x:row>
    <x:row r="50">
      <x:c r="A50" t="str">
        <x:v>rc201C10</x:v>
      </x:c>
      <x:c r="B50" s="15" t="n">
        <x:v>64</x:v>
      </x:c>
      <x:c r="C50" s="15" t="n">
        <x:v>10</x:v>
      </x:c>
      <x:c r="D50" s="15" t="n">
        <x:f>'Run Data'!I50</x:f>
        <x:v>1</x:v>
      </x:c>
      <x:c r="E50" s="15" t="n">
        <x:f>'Run Data'!I104</x:f>
        <x:v>1</x:v>
      </x:c>
      <x:c r="F50" s="15" t="n">
        <x:f>E50-D50</x:f>
        <x:v>0</x:v>
      </x:c>
      <x:c r="G50" s="26" t="str">
        <x:f>IF(F50&gt;0,"EV more",IF(F50&lt;0,"EV fewer","Same"))</x:f>
        <x:v>Same</x:v>
      </x:c>
      <x:c r="H50" s="16" t="n">
        <x:f>'Run Data'!J50</x:f>
        <x:v>399.645781</x:v>
      </x:c>
      <x:c r="I50" s="16" t="n">
        <x:f>'Run Data'!J104</x:f>
        <x:v>412.861395</x:v>
      </x:c>
      <x:c r="J50" s="16" t="n">
        <x:f>IF(F50=0,I50-H50,"")</x:f>
        <x:v>13.215614000000016</x:v>
      </x:c>
      <x:c r="K50" s="26" t="str">
        <x:f>IF(F50&lt;&gt;0,"Different vehicles",IF(J50&gt;'Protocol'!$B$13,"EV longer",IF(J50&lt;-'Protocol'!$B$13,"EV shorter","Tie")))</x:f>
        <x:v>EV longer</x:v>
      </x:c>
      <x:c r="L50" s="16" t="n">
        <x:f>'Run Data'!AA50</x:f>
        <x:v>1875.763236</x:v>
      </x:c>
      <x:c r="M50" s="16" t="n">
        <x:f>'Run Data'!AC104</x:f>
        <x:v>6</x:v>
      </x:c>
      <x:c r="N50" s="16" t="n">
        <x:f>'Run Data'!K50</x:f>
        <x:v>1.262244</x:v>
      </x:c>
      <x:c r="O50" s="16" t="n">
        <x:f>'Run Data'!K104</x:f>
        <x:v>24.297968</x:v>
      </x:c>
      <x:c r="P50" s="27" t="n">
        <x:f>O50/N50</x:f>
        <x:v>19.24981857707385</x:v>
      </x:c>
    </x:row>
    <x:row r="51">
      <x:c r="A51" t="str">
        <x:v>rc201C10</x:v>
      </x:c>
      <x:c r="B51" s="15" t="n">
        <x:v>65</x:v>
      </x:c>
      <x:c r="C51" s="15" t="n">
        <x:v>10</x:v>
      </x:c>
      <x:c r="D51" s="15" t="n">
        <x:f>'Run Data'!I51</x:f>
        <x:v>1</x:v>
      </x:c>
      <x:c r="E51" s="15" t="n">
        <x:f>'Run Data'!I105</x:f>
        <x:v>1</x:v>
      </x:c>
      <x:c r="F51" s="15" t="n">
        <x:f>E51-D51</x:f>
        <x:v>0</x:v>
      </x:c>
      <x:c r="G51" s="26" t="str">
        <x:f>IF(F51&gt;0,"EV more",IF(F51&lt;0,"EV fewer","Same"))</x:f>
        <x:v>Same</x:v>
      </x:c>
      <x:c r="H51" s="16" t="n">
        <x:f>'Run Data'!J51</x:f>
        <x:v>399.645781</x:v>
      </x:c>
      <x:c r="I51" s="16" t="n">
        <x:f>'Run Data'!J105</x:f>
        <x:v>412.861395</x:v>
      </x:c>
      <x:c r="J51" s="16" t="n">
        <x:f>IF(F51=0,I51-H51,"")</x:f>
        <x:v>13.215614000000016</x:v>
      </x:c>
      <x:c r="K51" s="26" t="str">
        <x:f>IF(F51&lt;&gt;0,"Different vehicles",IF(J51&gt;'Protocol'!$B$13,"EV longer",IF(J51&lt;-'Protocol'!$B$13,"EV shorter","Tie")))</x:f>
        <x:v>EV longer</x:v>
      </x:c>
      <x:c r="L51" s="16" t="n">
        <x:f>'Run Data'!AA51</x:f>
        <x:v>1875.763236</x:v>
      </x:c>
      <x:c r="M51" s="16" t="n">
        <x:f>'Run Data'!AC105</x:f>
        <x:v>6</x:v>
      </x:c>
      <x:c r="N51" s="16" t="n">
        <x:f>'Run Data'!K51</x:f>
        <x:v>1.206621</x:v>
      </x:c>
      <x:c r="O51" s="16" t="n">
        <x:f>'Run Data'!K105</x:f>
        <x:v>25.454874</x:v>
      </x:c>
      <x:c r="P51" s="27" t="n">
        <x:f>O51/N51</x:f>
        <x:v>21.09599783196215</x:v>
      </x:c>
    </x:row>
    <x:row r="52">
      <x:c r="A52" t="str">
        <x:v>rc201C10</x:v>
      </x:c>
      <x:c r="B52" s="15" t="n">
        <x:v>66</x:v>
      </x:c>
      <x:c r="C52" s="15" t="n">
        <x:v>10</x:v>
      </x:c>
      <x:c r="D52" s="15" t="n">
        <x:f>'Run Data'!I52</x:f>
        <x:v>1</x:v>
      </x:c>
      <x:c r="E52" s="15" t="n">
        <x:f>'Run Data'!I106</x:f>
        <x:v>1</x:v>
      </x:c>
      <x:c r="F52" s="15" t="n">
        <x:f>E52-D52</x:f>
        <x:v>0</x:v>
      </x:c>
      <x:c r="G52" s="26" t="str">
        <x:f>IF(F52&gt;0,"EV more",IF(F52&lt;0,"EV fewer","Same"))</x:f>
        <x:v>Same</x:v>
      </x:c>
      <x:c r="H52" s="16" t="n">
        <x:f>'Run Data'!J52</x:f>
        <x:v>399.645781</x:v>
      </x:c>
      <x:c r="I52" s="16" t="n">
        <x:f>'Run Data'!J106</x:f>
        <x:v>412.861395</x:v>
      </x:c>
      <x:c r="J52" s="16" t="n">
        <x:f>IF(F52=0,I52-H52,"")</x:f>
        <x:v>13.215614000000016</x:v>
      </x:c>
      <x:c r="K52" s="26" t="str">
        <x:f>IF(F52&lt;&gt;0,"Different vehicles",IF(J52&gt;'Protocol'!$B$13,"EV longer",IF(J52&lt;-'Protocol'!$B$13,"EV shorter","Tie")))</x:f>
        <x:v>EV longer</x:v>
      </x:c>
      <x:c r="L52" s="16" t="n">
        <x:f>'Run Data'!AA52</x:f>
        <x:v>1875.763236</x:v>
      </x:c>
      <x:c r="M52" s="16" t="n">
        <x:f>'Run Data'!AC106</x:f>
        <x:v>6</x:v>
      </x:c>
      <x:c r="N52" s="16" t="n">
        <x:f>'Run Data'!K52</x:f>
        <x:v>1.314743</x:v>
      </x:c>
      <x:c r="O52" s="16" t="n">
        <x:f>'Run Data'!K106</x:f>
        <x:v>24.453904</x:v>
      </x:c>
      <x:c r="P52" s="27" t="n">
        <x:f>O52/N52</x:f>
        <x:v>18.599759800964904</x:v>
      </x:c>
    </x:row>
    <x:row r="53">
      <x:c r="A53" t="str">
        <x:v>rc202C15</x:v>
      </x:c>
      <x:c r="B53" s="15" t="n">
        <x:v>64</x:v>
      </x:c>
      <x:c r="C53" s="15" t="n">
        <x:v>15</x:v>
      </x:c>
      <x:c r="D53" s="15" t="n">
        <x:f>'Run Data'!I53</x:f>
        <x:v>1</x:v>
      </x:c>
      <x:c r="E53" s="15" t="n">
        <x:f>'Run Data'!I107</x:f>
        <x:v>2</x:v>
      </x:c>
      <x:c r="F53" s="15" t="n">
        <x:f>E53-D53</x:f>
        <x:v>1</x:v>
      </x:c>
      <x:c r="G53" s="26" t="str">
        <x:f>IF(F53&gt;0,"EV more",IF(F53&lt;0,"EV fewer","Same"))</x:f>
        <x:v>EV more</x:v>
      </x:c>
      <x:c r="H53" s="16" t="n">
        <x:f>'Run Data'!J53</x:f>
        <x:v>599.872561</x:v>
      </x:c>
      <x:c r="I53" s="16" t="n">
        <x:f>'Run Data'!J107</x:f>
        <x:v>394.387139</x:v>
      </x:c>
      <x:c r="J53" s="16" t="str">
        <x:f>IF(F53=0,I53-H53,"")</x:f>
      </x:c>
      <x:c r="K53" s="26" t="str">
        <x:f>IF(F53&lt;&gt;0,"Different vehicles",IF(J53&gt;'Protocol'!$B$13,"EV longer",IF(J53&lt;-'Protocol'!$B$13,"EV shorter","Tie")))</x:f>
        <x:v>Different vehicles</x:v>
      </x:c>
      <x:c r="L53" s="16" t="n">
        <x:f>'Run Data'!AA53</x:f>
        <x:v>3478.022375</x:v>
      </x:c>
      <x:c r="M53" s="16" t="n">
        <x:f>'Run Data'!AC107</x:f>
        <x:v>6</x:v>
      </x:c>
      <x:c r="N53" s="16" t="n">
        <x:f>'Run Data'!K53</x:f>
        <x:v>3.749764</x:v>
      </x:c>
      <x:c r="O53" s="16" t="n">
        <x:f>'Run Data'!K107</x:f>
        <x:v>145.443556</x:v>
      </x:c>
      <x:c r="P53" s="27" t="n">
        <x:f>O53/N53</x:f>
        <x:v>38.78738928636576</x:v>
      </x:c>
    </x:row>
    <x:row r="54">
      <x:c r="A54" t="str">
        <x:v>rc202C15</x:v>
      </x:c>
      <x:c r="B54" s="15" t="n">
        <x:v>65</x:v>
      </x:c>
      <x:c r="C54" s="15" t="n">
        <x:v>15</x:v>
      </x:c>
      <x:c r="D54" s="15" t="n">
        <x:f>'Run Data'!I54</x:f>
        <x:v>1</x:v>
      </x:c>
      <x:c r="E54" s="15" t="n">
        <x:f>'Run Data'!I108</x:f>
        <x:v>2</x:v>
      </x:c>
      <x:c r="F54" s="15" t="n">
        <x:f>E54-D54</x:f>
        <x:v>1</x:v>
      </x:c>
      <x:c r="G54" s="26" t="str">
        <x:f>IF(F54&gt;0,"EV more",IF(F54&lt;0,"EV fewer","Same"))</x:f>
        <x:v>EV more</x:v>
      </x:c>
      <x:c r="H54" s="16" t="n">
        <x:f>'Run Data'!J54</x:f>
        <x:v>599.872561</x:v>
      </x:c>
      <x:c r="I54" s="16" t="n">
        <x:f>'Run Data'!J108</x:f>
        <x:v>394.387139</x:v>
      </x:c>
      <x:c r="J54" s="16" t="str">
        <x:f>IF(F54=0,I54-H54,"")</x:f>
      </x:c>
      <x:c r="K54" s="26" t="str">
        <x:f>IF(F54&lt;&gt;0,"Different vehicles",IF(J54&gt;'Protocol'!$B$13,"EV longer",IF(J54&lt;-'Protocol'!$B$13,"EV shorter","Tie")))</x:f>
        <x:v>Different vehicles</x:v>
      </x:c>
      <x:c r="L54" s="16" t="n">
        <x:f>'Run Data'!AA54</x:f>
        <x:v>3478.022375</x:v>
      </x:c>
      <x:c r="M54" s="16" t="n">
        <x:f>'Run Data'!AC108</x:f>
        <x:v>6</x:v>
      </x:c>
      <x:c r="N54" s="16" t="n">
        <x:f>'Run Data'!K54</x:f>
        <x:v>3.614399</x:v>
      </x:c>
      <x:c r="O54" s="16" t="n">
        <x:f>'Run Data'!K108</x:f>
        <x:v>143.618389</x:v>
      </x:c>
      <x:c r="P54" s="27" t="n">
        <x:f>O54/N54</x:f>
        <x:v>39.73506771111878</x:v>
      </x:c>
    </x:row>
    <x:row r="55">
      <x:c r="A55" t="str">
        <x:v>rc202C15</x:v>
      </x:c>
      <x:c r="B55" s="15" t="n">
        <x:v>66</x:v>
      </x:c>
      <x:c r="C55" s="15" t="n">
        <x:v>15</x:v>
      </x:c>
      <x:c r="D55" s="15" t="n">
        <x:f>'Run Data'!I55</x:f>
        <x:v>1</x:v>
      </x:c>
      <x:c r="E55" s="15" t="n">
        <x:f>'Run Data'!I109</x:f>
        <x:v>2</x:v>
      </x:c>
      <x:c r="F55" s="15" t="n">
        <x:f>E55-D55</x:f>
        <x:v>1</x:v>
      </x:c>
      <x:c r="G55" s="26" t="str">
        <x:f>IF(F55&gt;0,"EV more",IF(F55&lt;0,"EV fewer","Same"))</x:f>
        <x:v>EV more</x:v>
      </x:c>
      <x:c r="H55" s="16" t="n">
        <x:f>'Run Data'!J55</x:f>
        <x:v>599.872561</x:v>
      </x:c>
      <x:c r="I55" s="16" t="n">
        <x:f>'Run Data'!J109</x:f>
        <x:v>394.387139</x:v>
      </x:c>
      <x:c r="J55" s="16" t="str">
        <x:f>IF(F55=0,I55-H55,"")</x:f>
      </x:c>
      <x:c r="K55" s="26" t="str">
        <x:f>IF(F55&lt;&gt;0,"Different vehicles",IF(J55&gt;'Protocol'!$B$13,"EV longer",IF(J55&lt;-'Protocol'!$B$13,"EV shorter","Tie")))</x:f>
        <x:v>Different vehicles</x:v>
      </x:c>
      <x:c r="L55" s="16" t="n">
        <x:f>'Run Data'!AA55</x:f>
        <x:v>3478.022375</x:v>
      </x:c>
      <x:c r="M55" s="16" t="n">
        <x:f>'Run Data'!AC109</x:f>
        <x:v>6</x:v>
      </x:c>
      <x:c r="N55" s="16" t="n">
        <x:f>'Run Data'!K55</x:f>
        <x:v>3.832613</x:v>
      </x:c>
      <x:c r="O55" s="16" t="n">
        <x:f>'Run Data'!K109</x:f>
        <x:v>135.728162</x:v>
      </x:c>
      <x:c r="P55" s="27" t="n">
        <x:f>O55/N55</x:f>
        <x:v>35.41400136147323</x:v>
      </x:c>
    </x:row>
  </x:sheetData>
  <x:conditionalFormatting sqref="G2:G55">
    <x:cfRule type="containsText" dxfId="2" priority="1" operator="containsText" text="EV more"/>
  </x:conditionalFormatting>
  <x:conditionalFormatting sqref="K2:K55">
    <x:cfRule type="containsText" dxfId="3" priority="2" operator="containsText" text="EV shorter"/>
  </x:conditionalFormatting>
  <x:pageMargins left="0.7" right="0.7" top="0.75" bottom="0.75" header="0.3" footer="0.3"/>
  <x:tableParts count="1">
    <x:tablePart xmlns:r="http://schemas.openxmlformats.org/officeDocument/2006/relationships" r:id="R7c3891474c454e1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21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28" customHeight="1">
      <x:c r="A1" s="10" t="str">
        <x:v>Ablation</x:v>
      </x:c>
      <x:c r="B1" s="10" t="str">
        <x:v>Instance</x:v>
      </x:c>
      <x:c r="C1" s="10" t="str">
        <x:v>Seed</x:v>
      </x:c>
      <x:c r="D1" s="10" t="str">
        <x:v>Full vehicles</x:v>
      </x:c>
      <x:c r="E1" s="10" t="str">
        <x:v>Full distance</x:v>
      </x:c>
      <x:c r="F1" s="10" t="str">
        <x:v>Ablation vehicles</x:v>
      </x:c>
      <x:c r="G1" s="10" t="str">
        <x:v>Ablation distance</x:v>
      </x:c>
      <x:c r="H1" s="10" t="str">
        <x:v>Outcome</x:v>
      </x:c>
      <x:c r="I1" s="10" t="str">
        <x:v>Distance delta if same vehicles</x:v>
      </x:c>
      <x:c r="J1" s="10" t="str">
        <x:v>Full runtime (s)</x:v>
      </x:c>
      <x:c r="K1" s="10" t="str">
        <x:v>Ablation runtime (s)</x:v>
      </x:c>
    </x:row>
    <x:row r="2">
      <x:c r="A2" t="str">
        <x:v>No_Adaptive</x:v>
      </x:c>
      <x:c r="B2" t="str">
        <x:v>c101C5</x:v>
      </x:c>
      <x:c r="C2" s="15" t="n">
        <x:v>64</x:v>
      </x:c>
      <x:c r="D2" s="15" t="n">
        <x:f>'Run Data'!I56</x:f>
        <x:v>3</x:v>
      </x:c>
      <x:c r="E2" s="16" t="n">
        <x:f>'Run Data'!J56</x:f>
        <x:v>247.149706</x:v>
      </x:c>
      <x:c r="F2" s="15" t="n">
        <x:f>'Run Data'!I110</x:f>
        <x:v>3</x:v>
      </x:c>
      <x:c r="G2" s="16" t="n">
        <x:f>'Run Data'!J110</x:f>
        <x:v>247.149706</x:v>
      </x:c>
      <x:c r="H2" s="26" t="str">
        <x:f>IF(F2&lt;D2,"Ablation better",IF(F2&gt;D2,"Full better",IF(G2&lt;E2-'Protocol'!$B$13,"Ablation better",IF(G2&gt;E2+'Protocol'!$B$13,"Full better","Tie"))))</x:f>
        <x:v>Tie</x:v>
      </x:c>
      <x:c r="I2" s="16" t="n">
        <x:f>IF(F2=D2,G2-E2,"")</x:f>
        <x:v>0</x:v>
      </x:c>
      <x:c r="J2" s="16" t="n">
        <x:f>'Run Data'!K56</x:f>
        <x:v>1.139474</x:v>
      </x:c>
      <x:c r="K2" s="16" t="n">
        <x:f>'Run Data'!K110</x:f>
        <x:v>1.309011</x:v>
      </x:c>
    </x:row>
    <x:row r="3">
      <x:c r="A3" t="str">
        <x:v>No_Adaptive</x:v>
      </x:c>
      <x:c r="B3" t="str">
        <x:v>c101C5</x:v>
      </x:c>
      <x:c r="C3" s="15" t="n">
        <x:v>65</x:v>
      </x:c>
      <x:c r="D3" s="15" t="n">
        <x:f>'Run Data'!I57</x:f>
        <x:v>3</x:v>
      </x:c>
      <x:c r="E3" s="16" t="n">
        <x:f>'Run Data'!J57</x:f>
        <x:v>247.149706</x:v>
      </x:c>
      <x:c r="F3" s="15" t="n">
        <x:f>'Run Data'!I111</x:f>
        <x:v>3</x:v>
      </x:c>
      <x:c r="G3" s="16" t="n">
        <x:f>'Run Data'!J111</x:f>
        <x:v>247.149706</x:v>
      </x:c>
      <x:c r="H3" s="26" t="str">
        <x:f>IF(F3&lt;D3,"Ablation better",IF(F3&gt;D3,"Full better",IF(G3&lt;E3-'Protocol'!$B$13,"Ablation better",IF(G3&gt;E3+'Protocol'!$B$13,"Full better","Tie"))))</x:f>
        <x:v>Tie</x:v>
      </x:c>
      <x:c r="I3" s="16" t="n">
        <x:f>IF(F3=D3,G3-E3,"")</x:f>
        <x:v>0</x:v>
      </x:c>
      <x:c r="J3" s="16" t="n">
        <x:f>'Run Data'!K57</x:f>
        <x:v>1.16619</x:v>
      </x:c>
      <x:c r="K3" s="16" t="n">
        <x:f>'Run Data'!K111</x:f>
        <x:v>1.12865</x:v>
      </x:c>
    </x:row>
    <x:row r="4">
      <x:c r="A4" t="str">
        <x:v>No_Adaptive</x:v>
      </x:c>
      <x:c r="B4" t="str">
        <x:v>c101C5</x:v>
      </x:c>
      <x:c r="C4" s="15" t="n">
        <x:v>66</x:v>
      </x:c>
      <x:c r="D4" s="15" t="n">
        <x:f>'Run Data'!I58</x:f>
        <x:v>3</x:v>
      </x:c>
      <x:c r="E4" s="16" t="n">
        <x:f>'Run Data'!J58</x:f>
        <x:v>247.149706</x:v>
      </x:c>
      <x:c r="F4" s="15" t="n">
        <x:f>'Run Data'!I112</x:f>
        <x:v>3</x:v>
      </x:c>
      <x:c r="G4" s="16" t="n">
        <x:f>'Run Data'!J112</x:f>
        <x:v>247.149706</x:v>
      </x:c>
      <x:c r="H4" s="26" t="str">
        <x:f>IF(F4&lt;D4,"Ablation better",IF(F4&gt;D4,"Full better",IF(G4&lt;E4-'Protocol'!$B$13,"Ablation better",IF(G4&gt;E4+'Protocol'!$B$13,"Full better","Tie"))))</x:f>
        <x:v>Tie</x:v>
      </x:c>
      <x:c r="I4" s="16" t="n">
        <x:f>IF(F4=D4,G4-E4,"")</x:f>
        <x:v>0</x:v>
      </x:c>
      <x:c r="J4" s="16" t="n">
        <x:f>'Run Data'!K58</x:f>
        <x:v>1.183372</x:v>
      </x:c>
      <x:c r="K4" s="16" t="n">
        <x:f>'Run Data'!K112</x:f>
        <x:v>1.415441</x:v>
      </x:c>
    </x:row>
    <x:row r="5">
      <x:c r="A5" t="str">
        <x:v>No_Adaptive</x:v>
      </x:c>
      <x:c r="B5" t="str">
        <x:v>c101C10</x:v>
      </x:c>
      <x:c r="C5" s="15" t="n">
        <x:v>64</x:v>
      </x:c>
      <x:c r="D5" s="15" t="n">
        <x:f>'Run Data'!I59</x:f>
        <x:v>3</x:v>
      </x:c>
      <x:c r="E5" s="16" t="n">
        <x:f>'Run Data'!J59</x:f>
        <x:v>408.477828</x:v>
      </x:c>
      <x:c r="F5" s="15" t="n">
        <x:f>'Run Data'!I113</x:f>
        <x:v>3</x:v>
      </x:c>
      <x:c r="G5" s="16" t="n">
        <x:f>'Run Data'!J113</x:f>
        <x:v>408.477828</x:v>
      </x:c>
      <x:c r="H5" s="26" t="str">
        <x:f>IF(F5&lt;D5,"Ablation better",IF(F5&gt;D5,"Full better",IF(G5&lt;E5-'Protocol'!$B$13,"Ablation better",IF(G5&gt;E5+'Protocol'!$B$13,"Full better","Tie"))))</x:f>
        <x:v>Tie</x:v>
      </x:c>
      <x:c r="I5" s="16" t="n">
        <x:f>IF(F5=D5,G5-E5,"")</x:f>
        <x:v>0</x:v>
      </x:c>
      <x:c r="J5" s="16" t="n">
        <x:f>'Run Data'!K59</x:f>
        <x:v>21.797258</x:v>
      </x:c>
      <x:c r="K5" s="16" t="n">
        <x:f>'Run Data'!K113</x:f>
        <x:v>21.690958</x:v>
      </x:c>
    </x:row>
    <x:row r="6">
      <x:c r="A6" t="str">
        <x:v>No_Adaptive</x:v>
      </x:c>
      <x:c r="B6" t="str">
        <x:v>c101C10</x:v>
      </x:c>
      <x:c r="C6" s="15" t="n">
        <x:v>65</x:v>
      </x:c>
      <x:c r="D6" s="15" t="n">
        <x:f>'Run Data'!I60</x:f>
        <x:v>3</x:v>
      </x:c>
      <x:c r="E6" s="16" t="n">
        <x:f>'Run Data'!J60</x:f>
        <x:v>408.477828</x:v>
      </x:c>
      <x:c r="F6" s="15" t="n">
        <x:f>'Run Data'!I114</x:f>
        <x:v>3</x:v>
      </x:c>
      <x:c r="G6" s="16" t="n">
        <x:f>'Run Data'!J114</x:f>
        <x:v>408.477828</x:v>
      </x:c>
      <x:c r="H6" s="26" t="str">
        <x:f>IF(F6&lt;D6,"Ablation better",IF(F6&gt;D6,"Full better",IF(G6&lt;E6-'Protocol'!$B$13,"Ablation better",IF(G6&gt;E6+'Protocol'!$B$13,"Full better","Tie"))))</x:f>
        <x:v>Tie</x:v>
      </x:c>
      <x:c r="I6" s="16" t="n">
        <x:f>IF(F6=D6,G6-E6,"")</x:f>
        <x:v>0</x:v>
      </x:c>
      <x:c r="J6" s="16" t="n">
        <x:f>'Run Data'!K60</x:f>
        <x:v>22.588583</x:v>
      </x:c>
      <x:c r="K6" s="16" t="n">
        <x:f>'Run Data'!K114</x:f>
        <x:v>20.657797</x:v>
      </x:c>
    </x:row>
    <x:row r="7">
      <x:c r="A7" t="str">
        <x:v>No_Adaptive</x:v>
      </x:c>
      <x:c r="B7" t="str">
        <x:v>c101C10</x:v>
      </x:c>
      <x:c r="C7" s="15" t="n">
        <x:v>66</x:v>
      </x:c>
      <x:c r="D7" s="15" t="n">
        <x:f>'Run Data'!I61</x:f>
        <x:v>3</x:v>
      </x:c>
      <x:c r="E7" s="16" t="n">
        <x:f>'Run Data'!J61</x:f>
        <x:v>408.477828</x:v>
      </x:c>
      <x:c r="F7" s="15" t="n">
        <x:f>'Run Data'!I115</x:f>
        <x:v>3</x:v>
      </x:c>
      <x:c r="G7" s="16" t="n">
        <x:f>'Run Data'!J115</x:f>
        <x:v>408.477828</x:v>
      </x:c>
      <x:c r="H7" s="26" t="str">
        <x:f>IF(F7&lt;D7,"Ablation better",IF(F7&gt;D7,"Full better",IF(G7&lt;E7-'Protocol'!$B$13,"Ablation better",IF(G7&gt;E7+'Protocol'!$B$13,"Full better","Tie"))))</x:f>
        <x:v>Tie</x:v>
      </x:c>
      <x:c r="I7" s="16" t="n">
        <x:f>IF(F7=D7,G7-E7,"")</x:f>
        <x:v>0</x:v>
      </x:c>
      <x:c r="J7" s="16" t="n">
        <x:f>'Run Data'!K61</x:f>
        <x:v>22.858427</x:v>
      </x:c>
      <x:c r="K7" s="16" t="n">
        <x:f>'Run Data'!K115</x:f>
        <x:v>19.587547</x:v>
      </x:c>
    </x:row>
    <x:row r="8">
      <x:c r="A8" t="str">
        <x:v>No_Adaptive</x:v>
      </x:c>
      <x:c r="B8" t="str">
        <x:v>c103C15</x:v>
      </x:c>
      <x:c r="C8" s="15" t="n">
        <x:v>64</x:v>
      </x:c>
      <x:c r="D8" s="15" t="n">
        <x:f>'Run Data'!I62</x:f>
        <x:v>3</x:v>
      </x:c>
      <x:c r="E8" s="16" t="n">
        <x:f>'Run Data'!J62</x:f>
        <x:v>392.977769</x:v>
      </x:c>
      <x:c r="F8" s="15" t="n">
        <x:f>'Run Data'!I116</x:f>
        <x:v>3</x:v>
      </x:c>
      <x:c r="G8" s="16" t="n">
        <x:f>'Run Data'!J116</x:f>
        <x:v>392.977769</x:v>
      </x:c>
      <x:c r="H8" s="26" t="str">
        <x:f>IF(F8&lt;D8,"Ablation better",IF(F8&gt;D8,"Full better",IF(G8&lt;E8-'Protocol'!$B$13,"Ablation better",IF(G8&gt;E8+'Protocol'!$B$13,"Full better","Tie"))))</x:f>
        <x:v>Tie</x:v>
      </x:c>
      <x:c r="I8" s="16" t="n">
        <x:f>IF(F8=D8,G8-E8,"")</x:f>
        <x:v>0</x:v>
      </x:c>
      <x:c r="J8" s="16" t="n">
        <x:f>'Run Data'!K62</x:f>
        <x:v>79.235737</x:v>
      </x:c>
      <x:c r="K8" s="16" t="n">
        <x:f>'Run Data'!K116</x:f>
        <x:v>76.889024</x:v>
      </x:c>
    </x:row>
    <x:row r="9">
      <x:c r="A9" t="str">
        <x:v>No_Adaptive</x:v>
      </x:c>
      <x:c r="B9" t="str">
        <x:v>c103C15</x:v>
      </x:c>
      <x:c r="C9" s="15" t="n">
        <x:v>65</x:v>
      </x:c>
      <x:c r="D9" s="15" t="n">
        <x:f>'Run Data'!I63</x:f>
        <x:v>3</x:v>
      </x:c>
      <x:c r="E9" s="16" t="n">
        <x:f>'Run Data'!J63</x:f>
        <x:v>392.977769</x:v>
      </x:c>
      <x:c r="F9" s="15" t="n">
        <x:f>'Run Data'!I117</x:f>
        <x:v>3</x:v>
      </x:c>
      <x:c r="G9" s="16" t="n">
        <x:f>'Run Data'!J117</x:f>
        <x:v>392.977769</x:v>
      </x:c>
      <x:c r="H9" s="26" t="str">
        <x:f>IF(F9&lt;D9,"Ablation better",IF(F9&gt;D9,"Full better",IF(G9&lt;E9-'Protocol'!$B$13,"Ablation better",IF(G9&gt;E9+'Protocol'!$B$13,"Full better","Tie"))))</x:f>
        <x:v>Tie</x:v>
      </x:c>
      <x:c r="I9" s="16" t="n">
        <x:f>IF(F9=D9,G9-E9,"")</x:f>
        <x:v>0</x:v>
      </x:c>
      <x:c r="J9" s="16" t="n">
        <x:f>'Run Data'!K63</x:f>
        <x:v>75.180012</x:v>
      </x:c>
      <x:c r="K9" s="16" t="n">
        <x:f>'Run Data'!K117</x:f>
        <x:v>77.201941</x:v>
      </x:c>
    </x:row>
    <x:row r="10">
      <x:c r="A10" t="str">
        <x:v>No_Adaptive</x:v>
      </x:c>
      <x:c r="B10" t="str">
        <x:v>c103C15</x:v>
      </x:c>
      <x:c r="C10" s="15" t="n">
        <x:v>66</x:v>
      </x:c>
      <x:c r="D10" s="15" t="n">
        <x:f>'Run Data'!I64</x:f>
        <x:v>3</x:v>
      </x:c>
      <x:c r="E10" s="16" t="n">
        <x:f>'Run Data'!J64</x:f>
        <x:v>392.977769</x:v>
      </x:c>
      <x:c r="F10" s="15" t="n">
        <x:f>'Run Data'!I118</x:f>
        <x:v>3</x:v>
      </x:c>
      <x:c r="G10" s="16" t="n">
        <x:f>'Run Data'!J118</x:f>
        <x:v>392.977769</x:v>
      </x:c>
      <x:c r="H10" s="26" t="str">
        <x:f>IF(F10&lt;D10,"Ablation better",IF(F10&gt;D10,"Full better",IF(G10&lt;E10-'Protocol'!$B$13,"Ablation better",IF(G10&gt;E10+'Protocol'!$B$13,"Full better","Tie"))))</x:f>
        <x:v>Tie</x:v>
      </x:c>
      <x:c r="I10" s="16" t="n">
        <x:f>IF(F10=D10,G10-E10,"")</x:f>
        <x:v>0</x:v>
      </x:c>
      <x:c r="J10" s="16" t="n">
        <x:f>'Run Data'!K64</x:f>
        <x:v>82.559186</x:v>
      </x:c>
      <x:c r="K10" s="16" t="n">
        <x:f>'Run Data'!K118</x:f>
        <x:v>67.306606</x:v>
      </x:c>
    </x:row>
    <x:row r="11">
      <x:c r="A11" t="str">
        <x:v>No_Adaptive</x:v>
      </x:c>
      <x:c r="B11" t="str">
        <x:v>c206C5</x:v>
      </x:c>
      <x:c r="C11" s="15" t="n">
        <x:v>64</x:v>
      </x:c>
      <x:c r="D11" s="15" t="n">
        <x:f>'Run Data'!I65</x:f>
        <x:v>1</x:v>
      </x:c>
      <x:c r="E11" s="16" t="n">
        <x:f>'Run Data'!J65</x:f>
        <x:v>242.555652</x:v>
      </x:c>
      <x:c r="F11" s="15" t="n">
        <x:f>'Run Data'!I119</x:f>
        <x:v>1</x:v>
      </x:c>
      <x:c r="G11" s="16" t="n">
        <x:f>'Run Data'!J119</x:f>
        <x:v>242.555652</x:v>
      </x:c>
      <x:c r="H11" s="26" t="str">
        <x:f>IF(F11&lt;D11,"Ablation better",IF(F11&gt;D11,"Full better",IF(G11&lt;E11-'Protocol'!$B$13,"Ablation better",IF(G11&gt;E11+'Protocol'!$B$13,"Full better","Tie"))))</x:f>
        <x:v>Tie</x:v>
      </x:c>
      <x:c r="I11" s="16" t="n">
        <x:f>IF(F11=D11,G11-E11,"")</x:f>
        <x:v>0</x:v>
      </x:c>
      <x:c r="J11" s="16" t="n">
        <x:f>'Run Data'!K65</x:f>
        <x:v>2.150285</x:v>
      </x:c>
      <x:c r="K11" s="16" t="n">
        <x:f>'Run Data'!K119</x:f>
        <x:v>2.263023</x:v>
      </x:c>
    </x:row>
    <x:row r="12">
      <x:c r="A12" t="str">
        <x:v>No_Adaptive</x:v>
      </x:c>
      <x:c r="B12" t="str">
        <x:v>c206C5</x:v>
      </x:c>
      <x:c r="C12" s="15" t="n">
        <x:v>65</x:v>
      </x:c>
      <x:c r="D12" s="15" t="n">
        <x:f>'Run Data'!I66</x:f>
        <x:v>1</x:v>
      </x:c>
      <x:c r="E12" s="16" t="n">
        <x:f>'Run Data'!J66</x:f>
        <x:v>242.555652</x:v>
      </x:c>
      <x:c r="F12" s="15" t="n">
        <x:f>'Run Data'!I120</x:f>
        <x:v>1</x:v>
      </x:c>
      <x:c r="G12" s="16" t="n">
        <x:f>'Run Data'!J120</x:f>
        <x:v>242.555652</x:v>
      </x:c>
      <x:c r="H12" s="26" t="str">
        <x:f>IF(F12&lt;D12,"Ablation better",IF(F12&gt;D12,"Full better",IF(G12&lt;E12-'Protocol'!$B$13,"Ablation better",IF(G12&gt;E12+'Protocol'!$B$13,"Full better","Tie"))))</x:f>
        <x:v>Tie</x:v>
      </x:c>
      <x:c r="I12" s="16" t="n">
        <x:f>IF(F12=D12,G12-E12,"")</x:f>
        <x:v>0</x:v>
      </x:c>
      <x:c r="J12" s="16" t="n">
        <x:f>'Run Data'!K66</x:f>
        <x:v>2.347707</x:v>
      </x:c>
      <x:c r="K12" s="16" t="n">
        <x:f>'Run Data'!K120</x:f>
        <x:v>2.145903</x:v>
      </x:c>
    </x:row>
    <x:row r="13">
      <x:c r="A13" t="str">
        <x:v>No_Adaptive</x:v>
      </x:c>
      <x:c r="B13" t="str">
        <x:v>c206C5</x:v>
      </x:c>
      <x:c r="C13" s="15" t="n">
        <x:v>66</x:v>
      </x:c>
      <x:c r="D13" s="15" t="n">
        <x:f>'Run Data'!I67</x:f>
        <x:v>1</x:v>
      </x:c>
      <x:c r="E13" s="16" t="n">
        <x:f>'Run Data'!J67</x:f>
        <x:v>242.555652</x:v>
      </x:c>
      <x:c r="F13" s="15" t="n">
        <x:f>'Run Data'!I121</x:f>
        <x:v>1</x:v>
      </x:c>
      <x:c r="G13" s="16" t="n">
        <x:f>'Run Data'!J121</x:f>
        <x:v>242.555652</x:v>
      </x:c>
      <x:c r="H13" s="26" t="str">
        <x:f>IF(F13&lt;D13,"Ablation better",IF(F13&gt;D13,"Full better",IF(G13&lt;E13-'Protocol'!$B$13,"Ablation better",IF(G13&gt;E13+'Protocol'!$B$13,"Full better","Tie"))))</x:f>
        <x:v>Tie</x:v>
      </x:c>
      <x:c r="I13" s="16" t="n">
        <x:f>IF(F13=D13,G13-E13,"")</x:f>
        <x:v>0</x:v>
      </x:c>
      <x:c r="J13" s="16" t="n">
        <x:f>'Run Data'!K67</x:f>
        <x:v>2.233104</x:v>
      </x:c>
      <x:c r="K13" s="16" t="n">
        <x:f>'Run Data'!K121</x:f>
        <x:v>2.109227</x:v>
      </x:c>
    </x:row>
    <x:row r="14">
      <x:c r="A14" t="str">
        <x:v>No_Adaptive</x:v>
      </x:c>
      <x:c r="B14" t="str">
        <x:v>c202C10</x:v>
      </x:c>
      <x:c r="C14" s="15" t="n">
        <x:v>64</x:v>
      </x:c>
      <x:c r="D14" s="15" t="n">
        <x:f>'Run Data'!I68</x:f>
        <x:v>1</x:v>
      </x:c>
      <x:c r="E14" s="16" t="n">
        <x:f>'Run Data'!J68</x:f>
        <x:v>304.058332</x:v>
      </x:c>
      <x:c r="F14" s="15" t="n">
        <x:f>'Run Data'!I122</x:f>
        <x:v>1</x:v>
      </x:c>
      <x:c r="G14" s="16" t="n">
        <x:f>'Run Data'!J122</x:f>
        <x:v>304.058332</x:v>
      </x:c>
      <x:c r="H14" s="26" t="str">
        <x:f>IF(F14&lt;D14,"Ablation better",IF(F14&gt;D14,"Full better",IF(G14&lt;E14-'Protocol'!$B$13,"Ablation better",IF(G14&gt;E14+'Protocol'!$B$13,"Full better","Tie"))))</x:f>
        <x:v>Tie</x:v>
      </x:c>
      <x:c r="I14" s="16" t="n">
        <x:f>IF(F14=D14,G14-E14,"")</x:f>
        <x:v>0</x:v>
      </x:c>
      <x:c r="J14" s="16" t="n">
        <x:f>'Run Data'!K68</x:f>
        <x:v>28.549388</x:v>
      </x:c>
      <x:c r="K14" s="16" t="n">
        <x:f>'Run Data'!K122</x:f>
        <x:v>27.998656</x:v>
      </x:c>
    </x:row>
    <x:row r="15">
      <x:c r="A15" t="str">
        <x:v>No_Adaptive</x:v>
      </x:c>
      <x:c r="B15" t="str">
        <x:v>c202C10</x:v>
      </x:c>
      <x:c r="C15" s="15" t="n">
        <x:v>65</x:v>
      </x:c>
      <x:c r="D15" s="15" t="n">
        <x:f>'Run Data'!I69</x:f>
        <x:v>1</x:v>
      </x:c>
      <x:c r="E15" s="16" t="n">
        <x:f>'Run Data'!J69</x:f>
        <x:v>304.058332</x:v>
      </x:c>
      <x:c r="F15" s="15" t="n">
        <x:f>'Run Data'!I123</x:f>
        <x:v>1</x:v>
      </x:c>
      <x:c r="G15" s="16" t="n">
        <x:f>'Run Data'!J123</x:f>
        <x:v>304.058332</x:v>
      </x:c>
      <x:c r="H15" s="26" t="str">
        <x:f>IF(F15&lt;D15,"Ablation better",IF(F15&gt;D15,"Full better",IF(G15&lt;E15-'Protocol'!$B$13,"Ablation better",IF(G15&gt;E15+'Protocol'!$B$13,"Full better","Tie"))))</x:f>
        <x:v>Tie</x:v>
      </x:c>
      <x:c r="I15" s="16" t="n">
        <x:f>IF(F15=D15,G15-E15,"")</x:f>
        <x:v>0</x:v>
      </x:c>
      <x:c r="J15" s="16" t="n">
        <x:f>'Run Data'!K69</x:f>
        <x:v>28.410061</x:v>
      </x:c>
      <x:c r="K15" s="16" t="n">
        <x:f>'Run Data'!K123</x:f>
        <x:v>29.37988</x:v>
      </x:c>
    </x:row>
    <x:row r="16">
      <x:c r="A16" t="str">
        <x:v>No_Adaptive</x:v>
      </x:c>
      <x:c r="B16" t="str">
        <x:v>c202C10</x:v>
      </x:c>
      <x:c r="C16" s="15" t="n">
        <x:v>66</x:v>
      </x:c>
      <x:c r="D16" s="15" t="n">
        <x:f>'Run Data'!I70</x:f>
        <x:v>1</x:v>
      </x:c>
      <x:c r="E16" s="16" t="n">
        <x:f>'Run Data'!J70</x:f>
        <x:v>304.058332</x:v>
      </x:c>
      <x:c r="F16" s="15" t="n">
        <x:f>'Run Data'!I124</x:f>
        <x:v>1</x:v>
      </x:c>
      <x:c r="G16" s="16" t="n">
        <x:f>'Run Data'!J124</x:f>
        <x:v>304.058332</x:v>
      </x:c>
      <x:c r="H16" s="26" t="str">
        <x:f>IF(F16&lt;D16,"Ablation better",IF(F16&gt;D16,"Full better",IF(G16&lt;E16-'Protocol'!$B$13,"Ablation better",IF(G16&gt;E16+'Protocol'!$B$13,"Full better","Tie"))))</x:f>
        <x:v>Tie</x:v>
      </x:c>
      <x:c r="I16" s="16" t="n">
        <x:f>IF(F16=D16,G16-E16,"")</x:f>
        <x:v>0</x:v>
      </x:c>
      <x:c r="J16" s="16" t="n">
        <x:f>'Run Data'!K70</x:f>
        <x:v>29.022369</x:v>
      </x:c>
      <x:c r="K16" s="16" t="n">
        <x:f>'Run Data'!K124</x:f>
        <x:v>27.242622</x:v>
      </x:c>
    </x:row>
    <x:row r="17">
      <x:c r="A17" t="str">
        <x:v>No_Adaptive</x:v>
      </x:c>
      <x:c r="B17" t="str">
        <x:v>c202C15</x:v>
      </x:c>
      <x:c r="C17" s="15" t="n">
        <x:v>64</x:v>
      </x:c>
      <x:c r="D17" s="15" t="n">
        <x:f>'Run Data'!I71</x:f>
        <x:v>3</x:v>
      </x:c>
      <x:c r="E17" s="16" t="n">
        <x:f>'Run Data'!J71</x:f>
        <x:v>376.789292</x:v>
      </x:c>
      <x:c r="F17" s="15" t="n">
        <x:f>'Run Data'!I125</x:f>
        <x:v>3</x:v>
      </x:c>
      <x:c r="G17" s="16" t="n">
        <x:f>'Run Data'!J125</x:f>
        <x:v>376.789292</x:v>
      </x:c>
      <x:c r="H17" s="26" t="str">
        <x:f>IF(F17&lt;D17,"Ablation better",IF(F17&gt;D17,"Full better",IF(G17&lt;E17-'Protocol'!$B$13,"Ablation better",IF(G17&gt;E17+'Protocol'!$B$13,"Full better","Tie"))))</x:f>
        <x:v>Tie</x:v>
      </x:c>
      <x:c r="I17" s="16" t="n">
        <x:f>IF(F17=D17,G17-E17,"")</x:f>
        <x:v>0</x:v>
      </x:c>
      <x:c r="J17" s="16" t="n">
        <x:f>'Run Data'!K71</x:f>
        <x:v>91.744132</x:v>
      </x:c>
      <x:c r="K17" s="16" t="n">
        <x:f>'Run Data'!K125</x:f>
        <x:v>87.566724</x:v>
      </x:c>
    </x:row>
    <x:row r="18">
      <x:c r="A18" t="str">
        <x:v>No_Adaptive</x:v>
      </x:c>
      <x:c r="B18" t="str">
        <x:v>c202C15</x:v>
      </x:c>
      <x:c r="C18" s="15" t="n">
        <x:v>65</x:v>
      </x:c>
      <x:c r="D18" s="15" t="n">
        <x:f>'Run Data'!I72</x:f>
        <x:v>3</x:v>
      </x:c>
      <x:c r="E18" s="16" t="n">
        <x:f>'Run Data'!J72</x:f>
        <x:v>376.789292</x:v>
      </x:c>
      <x:c r="F18" s="15" t="n">
        <x:f>'Run Data'!I126</x:f>
        <x:v>3</x:v>
      </x:c>
      <x:c r="G18" s="16" t="n">
        <x:f>'Run Data'!J126</x:f>
        <x:v>376.789292</x:v>
      </x:c>
      <x:c r="H18" s="26" t="str">
        <x:f>IF(F18&lt;D18,"Ablation better",IF(F18&gt;D18,"Full better",IF(G18&lt;E18-'Protocol'!$B$13,"Ablation better",IF(G18&gt;E18+'Protocol'!$B$13,"Full better","Tie"))))</x:f>
        <x:v>Tie</x:v>
      </x:c>
      <x:c r="I18" s="16" t="n">
        <x:f>IF(F18=D18,G18-E18,"")</x:f>
        <x:v>0</x:v>
      </x:c>
      <x:c r="J18" s="16" t="n">
        <x:f>'Run Data'!K72</x:f>
        <x:v>92.466362</x:v>
      </x:c>
      <x:c r="K18" s="16" t="n">
        <x:f>'Run Data'!K126</x:f>
        <x:v>89.328986</x:v>
      </x:c>
    </x:row>
    <x:row r="19">
      <x:c r="A19" t="str">
        <x:v>No_Adaptive</x:v>
      </x:c>
      <x:c r="B19" t="str">
        <x:v>c202C15</x:v>
      </x:c>
      <x:c r="C19" s="15" t="n">
        <x:v>66</x:v>
      </x:c>
      <x:c r="D19" s="15" t="n">
        <x:f>'Run Data'!I73</x:f>
        <x:v>3</x:v>
      </x:c>
      <x:c r="E19" s="16" t="n">
        <x:f>'Run Data'!J73</x:f>
        <x:v>376.789292</x:v>
      </x:c>
      <x:c r="F19" s="15" t="n">
        <x:f>'Run Data'!I127</x:f>
        <x:v>3</x:v>
      </x:c>
      <x:c r="G19" s="16" t="n">
        <x:f>'Run Data'!J127</x:f>
        <x:v>376.789292</x:v>
      </x:c>
      <x:c r="H19" s="26" t="str">
        <x:f>IF(F19&lt;D19,"Ablation better",IF(F19&gt;D19,"Full better",IF(G19&lt;E19-'Protocol'!$B$13,"Ablation better",IF(G19&gt;E19+'Protocol'!$B$13,"Full better","Tie"))))</x:f>
        <x:v>Tie</x:v>
      </x:c>
      <x:c r="I19" s="16" t="n">
        <x:f>IF(F19=D19,G19-E19,"")</x:f>
        <x:v>0</x:v>
      </x:c>
      <x:c r="J19" s="16" t="n">
        <x:f>'Run Data'!K73</x:f>
        <x:v>93.889028</x:v>
      </x:c>
      <x:c r="K19" s="16" t="n">
        <x:f>'Run Data'!K127</x:f>
        <x:v>85.993611</x:v>
      </x:c>
    </x:row>
    <x:row r="20">
      <x:c r="A20" t="str">
        <x:v>No_Adaptive</x:v>
      </x:c>
      <x:c r="B20" t="str">
        <x:v>r105C5</x:v>
      </x:c>
      <x:c r="C20" s="15" t="n">
        <x:v>64</x:v>
      </x:c>
      <x:c r="D20" s="15" t="n">
        <x:f>'Run Data'!I74</x:f>
        <x:v>2</x:v>
      </x:c>
      <x:c r="E20" s="16" t="n">
        <x:f>'Run Data'!J74</x:f>
        <x:v>156.082069</x:v>
      </x:c>
      <x:c r="F20" s="15" t="n">
        <x:f>'Run Data'!I128</x:f>
        <x:v>2</x:v>
      </x:c>
      <x:c r="G20" s="16" t="n">
        <x:f>'Run Data'!J128</x:f>
        <x:v>156.082069</x:v>
      </x:c>
      <x:c r="H20" s="26" t="str">
        <x:f>IF(F20&lt;D20,"Ablation better",IF(F20&gt;D20,"Full better",IF(G20&lt;E20-'Protocol'!$B$13,"Ablation better",IF(G20&gt;E20+'Protocol'!$B$13,"Full better","Tie"))))</x:f>
        <x:v>Tie</x:v>
      </x:c>
      <x:c r="I20" s="16" t="n">
        <x:f>IF(F20=D20,G20-E20,"")</x:f>
        <x:v>0</x:v>
      </x:c>
      <x:c r="J20" s="16" t="n">
        <x:f>'Run Data'!K74</x:f>
        <x:v>0.847096</x:v>
      </x:c>
      <x:c r="K20" s="16" t="n">
        <x:f>'Run Data'!K128</x:f>
        <x:v>0.906833</x:v>
      </x:c>
    </x:row>
    <x:row r="21">
      <x:c r="A21" t="str">
        <x:v>No_Adaptive</x:v>
      </x:c>
      <x:c r="B21" t="str">
        <x:v>r105C5</x:v>
      </x:c>
      <x:c r="C21" s="15" t="n">
        <x:v>65</x:v>
      </x:c>
      <x:c r="D21" s="15" t="n">
        <x:f>'Run Data'!I75</x:f>
        <x:v>2</x:v>
      </x:c>
      <x:c r="E21" s="16" t="n">
        <x:f>'Run Data'!J75</x:f>
        <x:v>156.082069</x:v>
      </x:c>
      <x:c r="F21" s="15" t="n">
        <x:f>'Run Data'!I129</x:f>
        <x:v>2</x:v>
      </x:c>
      <x:c r="G21" s="16" t="n">
        <x:f>'Run Data'!J129</x:f>
        <x:v>156.082069</x:v>
      </x:c>
      <x:c r="H21" s="26" t="str">
        <x:f>IF(F21&lt;D21,"Ablation better",IF(F21&gt;D21,"Full better",IF(G21&lt;E21-'Protocol'!$B$13,"Ablation better",IF(G21&gt;E21+'Protocol'!$B$13,"Full better","Tie"))))</x:f>
        <x:v>Tie</x:v>
      </x:c>
      <x:c r="I21" s="16" t="n">
        <x:f>IF(F21=D21,G21-E21,"")</x:f>
        <x:v>0</x:v>
      </x:c>
      <x:c r="J21" s="16" t="n">
        <x:f>'Run Data'!K75</x:f>
        <x:v>0.89902</x:v>
      </x:c>
      <x:c r="K21" s="16" t="n">
        <x:f>'Run Data'!K129</x:f>
        <x:v>0.906863</x:v>
      </x:c>
    </x:row>
    <x:row r="22">
      <x:c r="A22" t="str">
        <x:v>No_Adaptive</x:v>
      </x:c>
      <x:c r="B22" t="str">
        <x:v>r105C5</x:v>
      </x:c>
      <x:c r="C22" s="15" t="n">
        <x:v>66</x:v>
      </x:c>
      <x:c r="D22" s="15" t="n">
        <x:f>'Run Data'!I76</x:f>
        <x:v>2</x:v>
      </x:c>
      <x:c r="E22" s="16" t="n">
        <x:f>'Run Data'!J76</x:f>
        <x:v>156.082069</x:v>
      </x:c>
      <x:c r="F22" s="15" t="n">
        <x:f>'Run Data'!I130</x:f>
        <x:v>2</x:v>
      </x:c>
      <x:c r="G22" s="16" t="n">
        <x:f>'Run Data'!J130</x:f>
        <x:v>156.082069</x:v>
      </x:c>
      <x:c r="H22" s="26" t="str">
        <x:f>IF(F22&lt;D22,"Ablation better",IF(F22&gt;D22,"Full better",IF(G22&lt;E22-'Protocol'!$B$13,"Ablation better",IF(G22&gt;E22+'Protocol'!$B$13,"Full better","Tie"))))</x:f>
        <x:v>Tie</x:v>
      </x:c>
      <x:c r="I22" s="16" t="n">
        <x:f>IF(F22=D22,G22-E22,"")</x:f>
        <x:v>0</x:v>
      </x:c>
      <x:c r="J22" s="16" t="n">
        <x:f>'Run Data'!K76</x:f>
        <x:v>0.921714</x:v>
      </x:c>
      <x:c r="K22" s="16" t="n">
        <x:f>'Run Data'!K130</x:f>
        <x:v>0.844278</x:v>
      </x:c>
    </x:row>
    <x:row r="23">
      <x:c r="A23" t="str">
        <x:v>No_Adaptive</x:v>
      </x:c>
      <x:c r="B23" t="str">
        <x:v>r103C10</x:v>
      </x:c>
      <x:c r="C23" s="15" t="n">
        <x:v>64</x:v>
      </x:c>
      <x:c r="D23" s="15" t="n">
        <x:f>'Run Data'!I77</x:f>
        <x:v>2</x:v>
      </x:c>
      <x:c r="E23" s="16" t="n">
        <x:f>'Run Data'!J77</x:f>
        <x:v>207.051154</x:v>
      </x:c>
      <x:c r="F23" s="15" t="n">
        <x:f>'Run Data'!I131</x:f>
        <x:v>2</x:v>
      </x:c>
      <x:c r="G23" s="16" t="n">
        <x:f>'Run Data'!J131</x:f>
        <x:v>207.051154</x:v>
      </x:c>
      <x:c r="H23" s="26" t="str">
        <x:f>IF(F23&lt;D23,"Ablation better",IF(F23&gt;D23,"Full better",IF(G23&lt;E23-'Protocol'!$B$13,"Ablation better",IF(G23&gt;E23+'Protocol'!$B$13,"Full better","Tie"))))</x:f>
        <x:v>Tie</x:v>
      </x:c>
      <x:c r="I23" s="16" t="n">
        <x:f>IF(F23=D23,G23-E23,"")</x:f>
        <x:v>0</x:v>
      </x:c>
      <x:c r="J23" s="16" t="n">
        <x:f>'Run Data'!K77</x:f>
        <x:v>13.315872</x:v>
      </x:c>
      <x:c r="K23" s="16" t="n">
        <x:f>'Run Data'!K131</x:f>
        <x:v>12.76843</x:v>
      </x:c>
    </x:row>
    <x:row r="24">
      <x:c r="A24" t="str">
        <x:v>No_Adaptive</x:v>
      </x:c>
      <x:c r="B24" t="str">
        <x:v>r103C10</x:v>
      </x:c>
      <x:c r="C24" s="15" t="n">
        <x:v>65</x:v>
      </x:c>
      <x:c r="D24" s="15" t="n">
        <x:f>'Run Data'!I78</x:f>
        <x:v>2</x:v>
      </x:c>
      <x:c r="E24" s="16" t="n">
        <x:f>'Run Data'!J78</x:f>
        <x:v>207.051154</x:v>
      </x:c>
      <x:c r="F24" s="15" t="n">
        <x:f>'Run Data'!I132</x:f>
        <x:v>2</x:v>
      </x:c>
      <x:c r="G24" s="16" t="n">
        <x:f>'Run Data'!J132</x:f>
        <x:v>207.051154</x:v>
      </x:c>
      <x:c r="H24" s="26" t="str">
        <x:f>IF(F24&lt;D24,"Ablation better",IF(F24&gt;D24,"Full better",IF(G24&lt;E24-'Protocol'!$B$13,"Ablation better",IF(G24&gt;E24+'Protocol'!$B$13,"Full better","Tie"))))</x:f>
        <x:v>Tie</x:v>
      </x:c>
      <x:c r="I24" s="16" t="n">
        <x:f>IF(F24=D24,G24-E24,"")</x:f>
        <x:v>0</x:v>
      </x:c>
      <x:c r="J24" s="16" t="n">
        <x:f>'Run Data'!K78</x:f>
        <x:v>11.950364</x:v>
      </x:c>
      <x:c r="K24" s="16" t="n">
        <x:f>'Run Data'!K132</x:f>
        <x:v>12.42141</x:v>
      </x:c>
    </x:row>
    <x:row r="25">
      <x:c r="A25" t="str">
        <x:v>No_Adaptive</x:v>
      </x:c>
      <x:c r="B25" t="str">
        <x:v>r103C10</x:v>
      </x:c>
      <x:c r="C25" s="15" t="n">
        <x:v>66</x:v>
      </x:c>
      <x:c r="D25" s="15" t="n">
        <x:f>'Run Data'!I79</x:f>
        <x:v>2</x:v>
      </x:c>
      <x:c r="E25" s="16" t="n">
        <x:f>'Run Data'!J79</x:f>
        <x:v>207.051154</x:v>
      </x:c>
      <x:c r="F25" s="15" t="n">
        <x:f>'Run Data'!I133</x:f>
        <x:v>2</x:v>
      </x:c>
      <x:c r="G25" s="16" t="n">
        <x:f>'Run Data'!J133</x:f>
        <x:v>207.051154</x:v>
      </x:c>
      <x:c r="H25" s="26" t="str">
        <x:f>IF(F25&lt;D25,"Ablation better",IF(F25&gt;D25,"Full better",IF(G25&lt;E25-'Protocol'!$B$13,"Ablation better",IF(G25&gt;E25+'Protocol'!$B$13,"Full better","Tie"))))</x:f>
        <x:v>Tie</x:v>
      </x:c>
      <x:c r="I25" s="16" t="n">
        <x:f>IF(F25=D25,G25-E25,"")</x:f>
        <x:v>0</x:v>
      </x:c>
      <x:c r="J25" s="16" t="n">
        <x:f>'Run Data'!K79</x:f>
        <x:v>13.25145</x:v>
      </x:c>
      <x:c r="K25" s="16" t="n">
        <x:f>'Run Data'!K133</x:f>
        <x:v>12.652508</x:v>
      </x:c>
    </x:row>
    <x:row r="26">
      <x:c r="A26" t="str">
        <x:v>No_Adaptive</x:v>
      </x:c>
      <x:c r="B26" t="str">
        <x:v>r105C15</x:v>
      </x:c>
      <x:c r="C26" s="15" t="n">
        <x:v>64</x:v>
      </x:c>
      <x:c r="D26" s="15" t="n">
        <x:f>'Run Data'!I80</x:f>
        <x:v>4</x:v>
      </x:c>
      <x:c r="E26" s="16" t="n">
        <x:f>'Run Data'!J80</x:f>
        <x:v>336.153602</x:v>
      </x:c>
      <x:c r="F26" s="15" t="n">
        <x:f>'Run Data'!I134</x:f>
        <x:v>4</x:v>
      </x:c>
      <x:c r="G26" s="16" t="n">
        <x:f>'Run Data'!J134</x:f>
        <x:v>336.153602</x:v>
      </x:c>
      <x:c r="H26" s="26" t="str">
        <x:f>IF(F26&lt;D26,"Ablation better",IF(F26&gt;D26,"Full better",IF(G26&lt;E26-'Protocol'!$B$13,"Ablation better",IF(G26&gt;E26+'Protocol'!$B$13,"Full better","Tie"))))</x:f>
        <x:v>Tie</x:v>
      </x:c>
      <x:c r="I26" s="16" t="n">
        <x:f>IF(F26=D26,G26-E26,"")</x:f>
        <x:v>0</x:v>
      </x:c>
      <x:c r="J26" s="16" t="n">
        <x:f>'Run Data'!K80</x:f>
        <x:v>59.317793</x:v>
      </x:c>
      <x:c r="K26" s="16" t="n">
        <x:f>'Run Data'!K134</x:f>
        <x:v>51.922692</x:v>
      </x:c>
    </x:row>
    <x:row r="27">
      <x:c r="A27" t="str">
        <x:v>No_Adaptive</x:v>
      </x:c>
      <x:c r="B27" t="str">
        <x:v>r105C15</x:v>
      </x:c>
      <x:c r="C27" s="15" t="n">
        <x:v>65</x:v>
      </x:c>
      <x:c r="D27" s="15" t="n">
        <x:f>'Run Data'!I81</x:f>
        <x:v>4</x:v>
      </x:c>
      <x:c r="E27" s="16" t="n">
        <x:f>'Run Data'!J81</x:f>
        <x:v>336.153602</x:v>
      </x:c>
      <x:c r="F27" s="15" t="n">
        <x:f>'Run Data'!I135</x:f>
        <x:v>4</x:v>
      </x:c>
      <x:c r="G27" s="16" t="n">
        <x:f>'Run Data'!J135</x:f>
        <x:v>336.153602</x:v>
      </x:c>
      <x:c r="H27" s="26" t="str">
        <x:f>IF(F27&lt;D27,"Ablation better",IF(F27&gt;D27,"Full better",IF(G27&lt;E27-'Protocol'!$B$13,"Ablation better",IF(G27&gt;E27+'Protocol'!$B$13,"Full better","Tie"))))</x:f>
        <x:v>Tie</x:v>
      </x:c>
      <x:c r="I27" s="16" t="n">
        <x:f>IF(F27=D27,G27-E27,"")</x:f>
        <x:v>0</x:v>
      </x:c>
      <x:c r="J27" s="16" t="n">
        <x:f>'Run Data'!K81</x:f>
        <x:v>51.050495</x:v>
      </x:c>
      <x:c r="K27" s="16" t="n">
        <x:f>'Run Data'!K135</x:f>
        <x:v>55.253219</x:v>
      </x:c>
    </x:row>
    <x:row r="28">
      <x:c r="A28" t="str">
        <x:v>No_Adaptive</x:v>
      </x:c>
      <x:c r="B28" t="str">
        <x:v>r105C15</x:v>
      </x:c>
      <x:c r="C28" s="15" t="n">
        <x:v>66</x:v>
      </x:c>
      <x:c r="D28" s="15" t="n">
        <x:f>'Run Data'!I82</x:f>
        <x:v>4</x:v>
      </x:c>
      <x:c r="E28" s="16" t="n">
        <x:f>'Run Data'!J82</x:f>
        <x:v>336.153602</x:v>
      </x:c>
      <x:c r="F28" s="15" t="n">
        <x:f>'Run Data'!I136</x:f>
        <x:v>4</x:v>
      </x:c>
      <x:c r="G28" s="16" t="n">
        <x:f>'Run Data'!J136</x:f>
        <x:v>336.153602</x:v>
      </x:c>
      <x:c r="H28" s="26" t="str">
        <x:f>IF(F28&lt;D28,"Ablation better",IF(F28&gt;D28,"Full better",IF(G28&lt;E28-'Protocol'!$B$13,"Ablation better",IF(G28&gt;E28+'Protocol'!$B$13,"Full better","Tie"))))</x:f>
        <x:v>Tie</x:v>
      </x:c>
      <x:c r="I28" s="16" t="n">
        <x:f>IF(F28=D28,G28-E28,"")</x:f>
        <x:v>0</x:v>
      </x:c>
      <x:c r="J28" s="16" t="n">
        <x:f>'Run Data'!K82</x:f>
        <x:v>60.642805</x:v>
      </x:c>
      <x:c r="K28" s="16" t="n">
        <x:f>'Run Data'!K136</x:f>
        <x:v>54.032684</x:v>
      </x:c>
    </x:row>
    <x:row r="29">
      <x:c r="A29" t="str">
        <x:v>No_Adaptive</x:v>
      </x:c>
      <x:c r="B29" t="str">
        <x:v>r202C5</x:v>
      </x:c>
      <x:c r="C29" s="15" t="n">
        <x:v>64</x:v>
      </x:c>
      <x:c r="D29" s="15" t="n">
        <x:f>'Run Data'!I83</x:f>
        <x:v>1</x:v>
      </x:c>
      <x:c r="E29" s="16" t="n">
        <x:f>'Run Data'!J83</x:f>
        <x:v>128.777139</x:v>
      </x:c>
      <x:c r="F29" s="15" t="n">
        <x:f>'Run Data'!I137</x:f>
        <x:v>1</x:v>
      </x:c>
      <x:c r="G29" s="16" t="n">
        <x:f>'Run Data'!J137</x:f>
        <x:v>128.777139</x:v>
      </x:c>
      <x:c r="H29" s="26" t="str">
        <x:f>IF(F29&lt;D29,"Ablation better",IF(F29&gt;D29,"Full better",IF(G29&lt;E29-'Protocol'!$B$13,"Ablation better",IF(G29&gt;E29+'Protocol'!$B$13,"Full better","Tie"))))</x:f>
        <x:v>Tie</x:v>
      </x:c>
      <x:c r="I29" s="16" t="n">
        <x:f>IF(F29=D29,G29-E29,"")</x:f>
        <x:v>0</x:v>
      </x:c>
      <x:c r="J29" s="16" t="n">
        <x:f>'Run Data'!K83</x:f>
        <x:v>2.762394</x:v>
      </x:c>
      <x:c r="K29" s="16" t="n">
        <x:f>'Run Data'!K137</x:f>
        <x:v>2.949794</x:v>
      </x:c>
    </x:row>
    <x:row r="30">
      <x:c r="A30" t="str">
        <x:v>No_Adaptive</x:v>
      </x:c>
      <x:c r="B30" t="str">
        <x:v>r202C5</x:v>
      </x:c>
      <x:c r="C30" s="15" t="n">
        <x:v>65</x:v>
      </x:c>
      <x:c r="D30" s="15" t="n">
        <x:f>'Run Data'!I84</x:f>
        <x:v>1</x:v>
      </x:c>
      <x:c r="E30" s="16" t="n">
        <x:f>'Run Data'!J84</x:f>
        <x:v>128.777139</x:v>
      </x:c>
      <x:c r="F30" s="15" t="n">
        <x:f>'Run Data'!I138</x:f>
        <x:v>1</x:v>
      </x:c>
      <x:c r="G30" s="16" t="n">
        <x:f>'Run Data'!J138</x:f>
        <x:v>128.777139</x:v>
      </x:c>
      <x:c r="H30" s="26" t="str">
        <x:f>IF(F30&lt;D30,"Ablation better",IF(F30&gt;D30,"Full better",IF(G30&lt;E30-'Protocol'!$B$13,"Ablation better",IF(G30&gt;E30+'Protocol'!$B$13,"Full better","Tie"))))</x:f>
        <x:v>Tie</x:v>
      </x:c>
      <x:c r="I30" s="16" t="n">
        <x:f>IF(F30=D30,G30-E30,"")</x:f>
        <x:v>0</x:v>
      </x:c>
      <x:c r="J30" s="16" t="n">
        <x:f>'Run Data'!K84</x:f>
        <x:v>2.834729</x:v>
      </x:c>
      <x:c r="K30" s="16" t="n">
        <x:f>'Run Data'!K138</x:f>
        <x:v>2.733082</x:v>
      </x:c>
    </x:row>
    <x:row r="31">
      <x:c r="A31" t="str">
        <x:v>No_Adaptive</x:v>
      </x:c>
      <x:c r="B31" t="str">
        <x:v>r202C5</x:v>
      </x:c>
      <x:c r="C31" s="15" t="n">
        <x:v>66</x:v>
      </x:c>
      <x:c r="D31" s="15" t="n">
        <x:f>'Run Data'!I85</x:f>
        <x:v>1</x:v>
      </x:c>
      <x:c r="E31" s="16" t="n">
        <x:f>'Run Data'!J85</x:f>
        <x:v>128.777139</x:v>
      </x:c>
      <x:c r="F31" s="15" t="n">
        <x:f>'Run Data'!I139</x:f>
        <x:v>1</x:v>
      </x:c>
      <x:c r="G31" s="16" t="n">
        <x:f>'Run Data'!J139</x:f>
        <x:v>128.777139</x:v>
      </x:c>
      <x:c r="H31" s="26" t="str">
        <x:f>IF(F31&lt;D31,"Ablation better",IF(F31&gt;D31,"Full better",IF(G31&lt;E31-'Protocol'!$B$13,"Ablation better",IF(G31&gt;E31+'Protocol'!$B$13,"Full better","Tie"))))</x:f>
        <x:v>Tie</x:v>
      </x:c>
      <x:c r="I31" s="16" t="n">
        <x:f>IF(F31=D31,G31-E31,"")</x:f>
        <x:v>0</x:v>
      </x:c>
      <x:c r="J31" s="16" t="n">
        <x:f>'Run Data'!K85</x:f>
        <x:v>2.88277</x:v>
      </x:c>
      <x:c r="K31" s="16" t="n">
        <x:f>'Run Data'!K139</x:f>
        <x:v>2.667392</x:v>
      </x:c>
    </x:row>
    <x:row r="32">
      <x:c r="A32" t="str">
        <x:v>No_Adaptive</x:v>
      </x:c>
      <x:c r="B32" t="str">
        <x:v>r201C10</x:v>
      </x:c>
      <x:c r="C32" s="15" t="n">
        <x:v>64</x:v>
      </x:c>
      <x:c r="D32" s="15" t="n">
        <x:f>'Run Data'!I86</x:f>
        <x:v>2</x:v>
      </x:c>
      <x:c r="E32" s="16" t="n">
        <x:f>'Run Data'!J86</x:f>
        <x:v>228.355271</x:v>
      </x:c>
      <x:c r="F32" s="15" t="n">
        <x:f>'Run Data'!I140</x:f>
        <x:v>1</x:v>
      </x:c>
      <x:c r="G32" s="16" t="n">
        <x:f>'Run Data'!J140</x:f>
        <x:v>241.505881</x:v>
      </x:c>
      <x:c r="H32" s="26" t="str">
        <x:f>IF(F32&lt;D32,"Ablation better",IF(F32&gt;D32,"Full better",IF(G32&lt;E32-'Protocol'!$B$13,"Ablation better",IF(G32&gt;E32+'Protocol'!$B$13,"Full better","Tie"))))</x:f>
        <x:v>Ablation better</x:v>
      </x:c>
      <x:c r="I32" s="16" t="str">
        <x:f>IF(F32=D32,G32-E32,"")</x:f>
      </x:c>
      <x:c r="J32" s="16" t="n">
        <x:f>'Run Data'!K86</x:f>
        <x:v>15.957447</x:v>
      </x:c>
      <x:c r="K32" s="16" t="n">
        <x:f>'Run Data'!K140</x:f>
        <x:v>24.950275</x:v>
      </x:c>
    </x:row>
    <x:row r="33">
      <x:c r="A33" t="str">
        <x:v>No_Adaptive</x:v>
      </x:c>
      <x:c r="B33" t="str">
        <x:v>r201C10</x:v>
      </x:c>
      <x:c r="C33" s="15" t="n">
        <x:v>65</x:v>
      </x:c>
      <x:c r="D33" s="15" t="n">
        <x:f>'Run Data'!I87</x:f>
        <x:v>1</x:v>
      </x:c>
      <x:c r="E33" s="16" t="n">
        <x:f>'Run Data'!J87</x:f>
        <x:v>241.505881</x:v>
      </x:c>
      <x:c r="F33" s="15" t="n">
        <x:f>'Run Data'!I141</x:f>
        <x:v>1</x:v>
      </x:c>
      <x:c r="G33" s="16" t="n">
        <x:f>'Run Data'!J141</x:f>
        <x:v>241.505881</x:v>
      </x:c>
      <x:c r="H33" s="26" t="str">
        <x:f>IF(F33&lt;D33,"Ablation better",IF(F33&gt;D33,"Full better",IF(G33&lt;E33-'Protocol'!$B$13,"Ablation better",IF(G33&gt;E33+'Protocol'!$B$13,"Full better","Tie"))))</x:f>
        <x:v>Tie</x:v>
      </x:c>
      <x:c r="I33" s="16" t="n">
        <x:f>IF(F33=D33,G33-E33,"")</x:f>
        <x:v>0</x:v>
      </x:c>
      <x:c r="J33" s="16" t="n">
        <x:f>'Run Data'!K87</x:f>
        <x:v>27.340475</x:v>
      </x:c>
      <x:c r="K33" s="16" t="n">
        <x:f>'Run Data'!K141</x:f>
        <x:v>25.682368</x:v>
      </x:c>
    </x:row>
    <x:row r="34">
      <x:c r="A34" t="str">
        <x:v>No_Adaptive</x:v>
      </x:c>
      <x:c r="B34" t="str">
        <x:v>r201C10</x:v>
      </x:c>
      <x:c r="C34" s="15" t="n">
        <x:v>66</x:v>
      </x:c>
      <x:c r="D34" s="15" t="n">
        <x:f>'Run Data'!I88</x:f>
        <x:v>1</x:v>
      </x:c>
      <x:c r="E34" s="16" t="n">
        <x:f>'Run Data'!J88</x:f>
        <x:v>241.505881</x:v>
      </x:c>
      <x:c r="F34" s="15" t="n">
        <x:f>'Run Data'!I142</x:f>
        <x:v>2</x:v>
      </x:c>
      <x:c r="G34" s="16" t="n">
        <x:f>'Run Data'!J142</x:f>
        <x:v>228.355271</x:v>
      </x:c>
      <x:c r="H34" s="26" t="str">
        <x:f>IF(F34&lt;D34,"Ablation better",IF(F34&gt;D34,"Full better",IF(G34&lt;E34-'Protocol'!$B$13,"Ablation better",IF(G34&gt;E34+'Protocol'!$B$13,"Full better","Tie"))))</x:f>
        <x:v>Full better</x:v>
      </x:c>
      <x:c r="I34" s="16" t="str">
        <x:f>IF(F34=D34,G34-E34,"")</x:f>
      </x:c>
      <x:c r="J34" s="16" t="n">
        <x:f>'Run Data'!K88</x:f>
        <x:v>28.335103</x:v>
      </x:c>
      <x:c r="K34" s="16" t="n">
        <x:f>'Run Data'!K142</x:f>
        <x:v>14.643908</x:v>
      </x:c>
    </x:row>
    <x:row r="35">
      <x:c r="A35" t="str">
        <x:v>No_Adaptive</x:v>
      </x:c>
      <x:c r="B35" t="str">
        <x:v>r202C15</x:v>
      </x:c>
      <x:c r="C35" s="15" t="n">
        <x:v>64</x:v>
      </x:c>
      <x:c r="D35" s="15" t="n">
        <x:f>'Run Data'!I89</x:f>
        <x:v>2</x:v>
      </x:c>
      <x:c r="E35" s="16" t="n">
        <x:f>'Run Data'!J89</x:f>
        <x:v>358.004778</x:v>
      </x:c>
      <x:c r="F35" s="15" t="n">
        <x:f>'Run Data'!I143</x:f>
        <x:v>2</x:v>
      </x:c>
      <x:c r="G35" s="16" t="n">
        <x:f>'Run Data'!J143</x:f>
        <x:v>358.004778</x:v>
      </x:c>
      <x:c r="H35" s="26" t="str">
        <x:f>IF(F35&lt;D35,"Ablation better",IF(F35&gt;D35,"Full better",IF(G35&lt;E35-'Protocol'!$B$13,"Ablation better",IF(G35&gt;E35+'Protocol'!$B$13,"Full better","Tie"))))</x:f>
        <x:v>Tie</x:v>
      </x:c>
      <x:c r="I35" s="16" t="n">
        <x:f>IF(F35=D35,G35-E35,"")</x:f>
        <x:v>0</x:v>
      </x:c>
      <x:c r="J35" s="16" t="n">
        <x:f>'Run Data'!K89</x:f>
        <x:v>180.584925</x:v>
      </x:c>
      <x:c r="K35" s="16" t="n">
        <x:f>'Run Data'!K143</x:f>
        <x:v>161.602393</x:v>
      </x:c>
    </x:row>
    <x:row r="36">
      <x:c r="A36" t="str">
        <x:v>No_Adaptive</x:v>
      </x:c>
      <x:c r="B36" t="str">
        <x:v>r202C15</x:v>
      </x:c>
      <x:c r="C36" s="15" t="n">
        <x:v>65</x:v>
      </x:c>
      <x:c r="D36" s="15" t="n">
        <x:f>'Run Data'!I90</x:f>
        <x:v>2</x:v>
      </x:c>
      <x:c r="E36" s="16" t="n">
        <x:f>'Run Data'!J90</x:f>
        <x:v>406.804399</x:v>
      </x:c>
      <x:c r="F36" s="15" t="n">
        <x:f>'Run Data'!I144</x:f>
        <x:v>2</x:v>
      </x:c>
      <x:c r="G36" s="16" t="n">
        <x:f>'Run Data'!J144</x:f>
        <x:v>358.004778</x:v>
      </x:c>
      <x:c r="H36" s="26" t="str">
        <x:f>IF(F36&lt;D36,"Ablation better",IF(F36&gt;D36,"Full better",IF(G36&lt;E36-'Protocol'!$B$13,"Ablation better",IF(G36&gt;E36+'Protocol'!$B$13,"Full better","Tie"))))</x:f>
        <x:v>Ablation better</x:v>
      </x:c>
      <x:c r="I36" s="16" t="n">
        <x:f>IF(F36=D36,G36-E36,"")</x:f>
        <x:v>-48.799621</x:v>
      </x:c>
      <x:c r="J36" s="16" t="n">
        <x:f>'Run Data'!K90</x:f>
        <x:v>293.469101</x:v>
      </x:c>
      <x:c r="K36" s="16" t="n">
        <x:f>'Run Data'!K144</x:f>
        <x:v>151.720011</x:v>
      </x:c>
    </x:row>
    <x:row r="37">
      <x:c r="A37" t="str">
        <x:v>No_Adaptive</x:v>
      </x:c>
      <x:c r="B37" t="str">
        <x:v>r202C15</x:v>
      </x:c>
      <x:c r="C37" s="15" t="n">
        <x:v>66</x:v>
      </x:c>
      <x:c r="D37" s="15" t="n">
        <x:f>'Run Data'!I91</x:f>
        <x:v>2</x:v>
      </x:c>
      <x:c r="E37" s="16" t="n">
        <x:f>'Run Data'!J91</x:f>
        <x:v>358.004778</x:v>
      </x:c>
      <x:c r="F37" s="15" t="n">
        <x:f>'Run Data'!I145</x:f>
        <x:v>2</x:v>
      </x:c>
      <x:c r="G37" s="16" t="n">
        <x:f>'Run Data'!J145</x:f>
        <x:v>406.804399</x:v>
      </x:c>
      <x:c r="H37" s="26" t="str">
        <x:f>IF(F37&lt;D37,"Ablation better",IF(F37&gt;D37,"Full better",IF(G37&lt;E37-'Protocol'!$B$13,"Ablation better",IF(G37&gt;E37+'Protocol'!$B$13,"Full better","Tie"))))</x:f>
        <x:v>Full better</x:v>
      </x:c>
      <x:c r="I37" s="16" t="n">
        <x:f>IF(F37=D37,G37-E37,"")</x:f>
        <x:v>48.799621</x:v>
      </x:c>
      <x:c r="J37" s="16" t="n">
        <x:f>'Run Data'!K91</x:f>
        <x:v>174.530089</x:v>
      </x:c>
      <x:c r="K37" s="16" t="n">
        <x:f>'Run Data'!K145</x:f>
        <x:v>265.169293</x:v>
      </x:c>
    </x:row>
    <x:row r="38">
      <x:c r="A38" t="str">
        <x:v>No_Adaptive</x:v>
      </x:c>
      <x:c r="B38" t="str">
        <x:v>rc105C5</x:v>
      </x:c>
      <x:c r="C38" s="15" t="n">
        <x:v>64</x:v>
      </x:c>
      <x:c r="D38" s="15" t="n">
        <x:f>'Run Data'!I92</x:f>
        <x:v>3</x:v>
      </x:c>
      <x:c r="E38" s="16" t="n">
        <x:f>'Run Data'!J92</x:f>
        <x:v>238.052232</x:v>
      </x:c>
      <x:c r="F38" s="15" t="n">
        <x:f>'Run Data'!I146</x:f>
        <x:v>3</x:v>
      </x:c>
      <x:c r="G38" s="16" t="n">
        <x:f>'Run Data'!J146</x:f>
        <x:v>238.052232</x:v>
      </x:c>
      <x:c r="H38" s="26" t="str">
        <x:f>IF(F38&lt;D38,"Ablation better",IF(F38&gt;D38,"Full better",IF(G38&lt;E38-'Protocol'!$B$13,"Ablation better",IF(G38&gt;E38+'Protocol'!$B$13,"Full better","Tie"))))</x:f>
        <x:v>Tie</x:v>
      </x:c>
      <x:c r="I38" s="16" t="n">
        <x:f>IF(F38=D38,G38-E38,"")</x:f>
        <x:v>0</x:v>
      </x:c>
      <x:c r="J38" s="16" t="n">
        <x:f>'Run Data'!K92</x:f>
        <x:v>1.200469</x:v>
      </x:c>
      <x:c r="K38" s="16" t="n">
        <x:f>'Run Data'!K146</x:f>
        <x:v>1.265094</x:v>
      </x:c>
    </x:row>
    <x:row r="39">
      <x:c r="A39" t="str">
        <x:v>No_Adaptive</x:v>
      </x:c>
      <x:c r="B39" t="str">
        <x:v>rc105C5</x:v>
      </x:c>
      <x:c r="C39" s="15" t="n">
        <x:v>65</x:v>
      </x:c>
      <x:c r="D39" s="15" t="n">
        <x:f>'Run Data'!I93</x:f>
        <x:v>3</x:v>
      </x:c>
      <x:c r="E39" s="16" t="n">
        <x:f>'Run Data'!J93</x:f>
        <x:v>238.052232</x:v>
      </x:c>
      <x:c r="F39" s="15" t="n">
        <x:f>'Run Data'!I147</x:f>
        <x:v>3</x:v>
      </x:c>
      <x:c r="G39" s="16" t="n">
        <x:f>'Run Data'!J147</x:f>
        <x:v>238.052232</x:v>
      </x:c>
      <x:c r="H39" s="26" t="str">
        <x:f>IF(F39&lt;D39,"Ablation better",IF(F39&gt;D39,"Full better",IF(G39&lt;E39-'Protocol'!$B$13,"Ablation better",IF(G39&gt;E39+'Protocol'!$B$13,"Full better","Tie"))))</x:f>
        <x:v>Tie</x:v>
      </x:c>
      <x:c r="I39" s="16" t="n">
        <x:f>IF(F39=D39,G39-E39,"")</x:f>
        <x:v>0</x:v>
      </x:c>
      <x:c r="J39" s="16" t="n">
        <x:f>'Run Data'!K93</x:f>
        <x:v>1.169266</x:v>
      </x:c>
      <x:c r="K39" s="16" t="n">
        <x:f>'Run Data'!K147</x:f>
        <x:v>1.186546</x:v>
      </x:c>
    </x:row>
    <x:row r="40">
      <x:c r="A40" t="str">
        <x:v>No_Adaptive</x:v>
      </x:c>
      <x:c r="B40" t="str">
        <x:v>rc105C5</x:v>
      </x:c>
      <x:c r="C40" s="15" t="n">
        <x:v>66</x:v>
      </x:c>
      <x:c r="D40" s="15" t="n">
        <x:f>'Run Data'!I94</x:f>
        <x:v>3</x:v>
      </x:c>
      <x:c r="E40" s="16" t="n">
        <x:f>'Run Data'!J94</x:f>
        <x:v>238.052232</x:v>
      </x:c>
      <x:c r="F40" s="15" t="n">
        <x:f>'Run Data'!I148</x:f>
        <x:v>3</x:v>
      </x:c>
      <x:c r="G40" s="16" t="n">
        <x:f>'Run Data'!J148</x:f>
        <x:v>238.052232</x:v>
      </x:c>
      <x:c r="H40" s="26" t="str">
        <x:f>IF(F40&lt;D40,"Ablation better",IF(F40&gt;D40,"Full better",IF(G40&lt;E40-'Protocol'!$B$13,"Ablation better",IF(G40&gt;E40+'Protocol'!$B$13,"Full better","Tie"))))</x:f>
        <x:v>Tie</x:v>
      </x:c>
      <x:c r="I40" s="16" t="n">
        <x:f>IF(F40=D40,G40-E40,"")</x:f>
        <x:v>0</x:v>
      </x:c>
      <x:c r="J40" s="16" t="n">
        <x:f>'Run Data'!K94</x:f>
        <x:v>1.200468</x:v>
      </x:c>
      <x:c r="K40" s="16" t="n">
        <x:f>'Run Data'!K148</x:f>
        <x:v>1.139557</x:v>
      </x:c>
    </x:row>
    <x:row r="41">
      <x:c r="A41" t="str">
        <x:v>No_Adaptive</x:v>
      </x:c>
      <x:c r="B41" t="str">
        <x:v>rc102C10</x:v>
      </x:c>
      <x:c r="C41" s="15" t="n">
        <x:v>64</x:v>
      </x:c>
      <x:c r="D41" s="15" t="n">
        <x:f>'Run Data'!I95</x:f>
        <x:v>4</x:v>
      </x:c>
      <x:c r="E41" s="16" t="n">
        <x:f>'Run Data'!J95</x:f>
        <x:v>423.510182</x:v>
      </x:c>
      <x:c r="F41" s="15" t="n">
        <x:f>'Run Data'!I149</x:f>
        <x:v>4</x:v>
      </x:c>
      <x:c r="G41" s="16" t="n">
        <x:f>'Run Data'!J149</x:f>
        <x:v>423.510182</x:v>
      </x:c>
      <x:c r="H41" s="26" t="str">
        <x:f>IF(F41&lt;D41,"Ablation better",IF(F41&gt;D41,"Full better",IF(G41&lt;E41-'Protocol'!$B$13,"Ablation better",IF(G41&gt;E41+'Protocol'!$B$13,"Full better","Tie"))))</x:f>
        <x:v>Tie</x:v>
      </x:c>
      <x:c r="I41" s="16" t="n">
        <x:f>IF(F41=D41,G41-E41,"")</x:f>
        <x:v>0</x:v>
      </x:c>
      <x:c r="J41" s="16" t="n">
        <x:f>'Run Data'!K95</x:f>
        <x:v>9.157004</x:v>
      </x:c>
      <x:c r="K41" s="16" t="n">
        <x:f>'Run Data'!K149</x:f>
        <x:v>8.87268</x:v>
      </x:c>
    </x:row>
    <x:row r="42">
      <x:c r="A42" t="str">
        <x:v>No_Adaptive</x:v>
      </x:c>
      <x:c r="B42" t="str">
        <x:v>rc102C10</x:v>
      </x:c>
      <x:c r="C42" s="15" t="n">
        <x:v>65</x:v>
      </x:c>
      <x:c r="D42" s="15" t="n">
        <x:f>'Run Data'!I96</x:f>
        <x:v>4</x:v>
      </x:c>
      <x:c r="E42" s="16" t="n">
        <x:f>'Run Data'!J96</x:f>
        <x:v>423.510182</x:v>
      </x:c>
      <x:c r="F42" s="15" t="n">
        <x:f>'Run Data'!I150</x:f>
        <x:v>4</x:v>
      </x:c>
      <x:c r="G42" s="16" t="n">
        <x:f>'Run Data'!J150</x:f>
        <x:v>423.510182</x:v>
      </x:c>
      <x:c r="H42" s="26" t="str">
        <x:f>IF(F42&lt;D42,"Ablation better",IF(F42&gt;D42,"Full better",IF(G42&lt;E42-'Protocol'!$B$13,"Ablation better",IF(G42&gt;E42+'Protocol'!$B$13,"Full better","Tie"))))</x:f>
        <x:v>Tie</x:v>
      </x:c>
      <x:c r="I42" s="16" t="n">
        <x:f>IF(F42=D42,G42-E42,"")</x:f>
        <x:v>0</x:v>
      </x:c>
      <x:c r="J42" s="16" t="n">
        <x:f>'Run Data'!K96</x:f>
        <x:v>8.805708</x:v>
      </x:c>
      <x:c r="K42" s="16" t="n">
        <x:f>'Run Data'!K150</x:f>
        <x:v>9.57764</x:v>
      </x:c>
    </x:row>
    <x:row r="43">
      <x:c r="A43" t="str">
        <x:v>No_Adaptive</x:v>
      </x:c>
      <x:c r="B43" t="str">
        <x:v>rc102C10</x:v>
      </x:c>
      <x:c r="C43" s="15" t="n">
        <x:v>66</x:v>
      </x:c>
      <x:c r="D43" s="15" t="n">
        <x:f>'Run Data'!I97</x:f>
        <x:v>4</x:v>
      </x:c>
      <x:c r="E43" s="16" t="n">
        <x:f>'Run Data'!J97</x:f>
        <x:v>423.510182</x:v>
      </x:c>
      <x:c r="F43" s="15" t="n">
        <x:f>'Run Data'!I151</x:f>
        <x:v>4</x:v>
      </x:c>
      <x:c r="G43" s="16" t="n">
        <x:f>'Run Data'!J151</x:f>
        <x:v>423.510182</x:v>
      </x:c>
      <x:c r="H43" s="26" t="str">
        <x:f>IF(F43&lt;D43,"Ablation better",IF(F43&gt;D43,"Full better",IF(G43&lt;E43-'Protocol'!$B$13,"Ablation better",IF(G43&gt;E43+'Protocol'!$B$13,"Full better","Tie"))))</x:f>
        <x:v>Tie</x:v>
      </x:c>
      <x:c r="I43" s="16" t="n">
        <x:f>IF(F43=D43,G43-E43,"")</x:f>
        <x:v>0</x:v>
      </x:c>
      <x:c r="J43" s="16" t="n">
        <x:f>'Run Data'!K97</x:f>
        <x:v>9.372135</x:v>
      </x:c>
      <x:c r="K43" s="16" t="n">
        <x:f>'Run Data'!K151</x:f>
        <x:v>9.008537</x:v>
      </x:c>
    </x:row>
    <x:row r="44">
      <x:c r="A44" t="str">
        <x:v>No_Adaptive</x:v>
      </x:c>
      <x:c r="B44" t="str">
        <x:v>rc103C15</x:v>
      </x:c>
      <x:c r="C44" s="15" t="n">
        <x:v>64</x:v>
      </x:c>
      <x:c r="D44" s="15" t="n">
        <x:f>'Run Data'!I98</x:f>
        <x:v>4</x:v>
      </x:c>
      <x:c r="E44" s="16" t="n">
        <x:f>'Run Data'!J98</x:f>
        <x:v>397.669857</x:v>
      </x:c>
      <x:c r="F44" s="15" t="n">
        <x:f>'Run Data'!I152</x:f>
        <x:v>4</x:v>
      </x:c>
      <x:c r="G44" s="16" t="n">
        <x:f>'Run Data'!J152</x:f>
        <x:v>397.669857</x:v>
      </x:c>
      <x:c r="H44" s="26" t="str">
        <x:f>IF(F44&lt;D44,"Ablation better",IF(F44&gt;D44,"Full better",IF(G44&lt;E44-'Protocol'!$B$13,"Ablation better",IF(G44&gt;E44+'Protocol'!$B$13,"Full better","Tie"))))</x:f>
        <x:v>Tie</x:v>
      </x:c>
      <x:c r="I44" s="16" t="n">
        <x:f>IF(F44=D44,G44-E44,"")</x:f>
        <x:v>0</x:v>
      </x:c>
      <x:c r="J44" s="16" t="n">
        <x:f>'Run Data'!K98</x:f>
        <x:v>48.269425</x:v>
      </x:c>
      <x:c r="K44" s="16" t="n">
        <x:f>'Run Data'!K152</x:f>
        <x:v>50.960687</x:v>
      </x:c>
    </x:row>
    <x:row r="45">
      <x:c r="A45" t="str">
        <x:v>No_Adaptive</x:v>
      </x:c>
      <x:c r="B45" t="str">
        <x:v>rc103C15</x:v>
      </x:c>
      <x:c r="C45" s="15" t="n">
        <x:v>65</x:v>
      </x:c>
      <x:c r="D45" s="15" t="n">
        <x:f>'Run Data'!I99</x:f>
        <x:v>4</x:v>
      </x:c>
      <x:c r="E45" s="16" t="n">
        <x:f>'Run Data'!J99</x:f>
        <x:v>397.669857</x:v>
      </x:c>
      <x:c r="F45" s="15" t="n">
        <x:f>'Run Data'!I153</x:f>
        <x:v>4</x:v>
      </x:c>
      <x:c r="G45" s="16" t="n">
        <x:f>'Run Data'!J153</x:f>
        <x:v>397.669857</x:v>
      </x:c>
      <x:c r="H45" s="26" t="str">
        <x:f>IF(F45&lt;D45,"Ablation better",IF(F45&gt;D45,"Full better",IF(G45&lt;E45-'Protocol'!$B$13,"Ablation better",IF(G45&gt;E45+'Protocol'!$B$13,"Full better","Tie"))))</x:f>
        <x:v>Tie</x:v>
      </x:c>
      <x:c r="I45" s="16" t="n">
        <x:f>IF(F45=D45,G45-E45,"")</x:f>
        <x:v>0</x:v>
      </x:c>
      <x:c r="J45" s="16" t="n">
        <x:f>'Run Data'!K99</x:f>
        <x:v>52.741467</x:v>
      </x:c>
      <x:c r="K45" s="16" t="n">
        <x:f>'Run Data'!K153</x:f>
        <x:v>52.312997</x:v>
      </x:c>
    </x:row>
    <x:row r="46">
      <x:c r="A46" t="str">
        <x:v>No_Adaptive</x:v>
      </x:c>
      <x:c r="B46" t="str">
        <x:v>rc103C15</x:v>
      </x:c>
      <x:c r="C46" s="15" t="n">
        <x:v>66</x:v>
      </x:c>
      <x:c r="D46" s="15" t="n">
        <x:f>'Run Data'!I100</x:f>
        <x:v>4</x:v>
      </x:c>
      <x:c r="E46" s="16" t="n">
        <x:f>'Run Data'!J100</x:f>
        <x:v>397.669857</x:v>
      </x:c>
      <x:c r="F46" s="15" t="n">
        <x:f>'Run Data'!I154</x:f>
        <x:v>4</x:v>
      </x:c>
      <x:c r="G46" s="16" t="n">
        <x:f>'Run Data'!J154</x:f>
        <x:v>397.669857</x:v>
      </x:c>
      <x:c r="H46" s="26" t="str">
        <x:f>IF(F46&lt;D46,"Ablation better",IF(F46&gt;D46,"Full better",IF(G46&lt;E46-'Protocol'!$B$13,"Ablation better",IF(G46&gt;E46+'Protocol'!$B$13,"Full better","Tie"))))</x:f>
        <x:v>Tie</x:v>
      </x:c>
      <x:c r="I46" s="16" t="n">
        <x:f>IF(F46=D46,G46-E46,"")</x:f>
        <x:v>0</x:v>
      </x:c>
      <x:c r="J46" s="16" t="n">
        <x:f>'Run Data'!K100</x:f>
        <x:v>55.397534</x:v>
      </x:c>
      <x:c r="K46" s="16" t="n">
        <x:f>'Run Data'!K154</x:f>
        <x:v>52.959546</x:v>
      </x:c>
    </x:row>
    <x:row r="47">
      <x:c r="A47" t="str">
        <x:v>No_Adaptive</x:v>
      </x:c>
      <x:c r="B47" t="str">
        <x:v>rc204C5</x:v>
      </x:c>
      <x:c r="C47" s="15" t="n">
        <x:v>64</x:v>
      </x:c>
      <x:c r="D47" s="15" t="n">
        <x:f>'Run Data'!I101</x:f>
        <x:v>1</x:v>
      </x:c>
      <x:c r="E47" s="16" t="n">
        <x:f>'Run Data'!J101</x:f>
        <x:v>179.162472</x:v>
      </x:c>
      <x:c r="F47" s="15" t="n">
        <x:f>'Run Data'!I155</x:f>
        <x:v>1</x:v>
      </x:c>
      <x:c r="G47" s="16" t="n">
        <x:f>'Run Data'!J155</x:f>
        <x:v>179.162472</x:v>
      </x:c>
      <x:c r="H47" s="26" t="str">
        <x:f>IF(F47&lt;D47,"Ablation better",IF(F47&gt;D47,"Full better",IF(G47&lt;E47-'Protocol'!$B$13,"Ablation better",IF(G47&gt;E47+'Protocol'!$B$13,"Full better","Tie"))))</x:f>
        <x:v>Tie</x:v>
      </x:c>
      <x:c r="I47" s="16" t="n">
        <x:f>IF(F47=D47,G47-E47,"")</x:f>
        <x:v>0</x:v>
      </x:c>
      <x:c r="J47" s="16" t="n">
        <x:f>'Run Data'!K101</x:f>
        <x:v>3.448381</x:v>
      </x:c>
      <x:c r="K47" s="16" t="n">
        <x:f>'Run Data'!K155</x:f>
        <x:v>3.76679</x:v>
      </x:c>
    </x:row>
    <x:row r="48">
      <x:c r="A48" t="str">
        <x:v>No_Adaptive</x:v>
      </x:c>
      <x:c r="B48" t="str">
        <x:v>rc204C5</x:v>
      </x:c>
      <x:c r="C48" s="15" t="n">
        <x:v>65</x:v>
      </x:c>
      <x:c r="D48" s="15" t="n">
        <x:f>'Run Data'!I102</x:f>
        <x:v>1</x:v>
      </x:c>
      <x:c r="E48" s="16" t="n">
        <x:f>'Run Data'!J102</x:f>
        <x:v>179.162472</x:v>
      </x:c>
      <x:c r="F48" s="15" t="n">
        <x:f>'Run Data'!I156</x:f>
        <x:v>1</x:v>
      </x:c>
      <x:c r="G48" s="16" t="n">
        <x:f>'Run Data'!J156</x:f>
        <x:v>179.162472</x:v>
      </x:c>
      <x:c r="H48" s="26" t="str">
        <x:f>IF(F48&lt;D48,"Ablation better",IF(F48&gt;D48,"Full better",IF(G48&lt;E48-'Protocol'!$B$13,"Ablation better",IF(G48&gt;E48+'Protocol'!$B$13,"Full better","Tie"))))</x:f>
        <x:v>Tie</x:v>
      </x:c>
      <x:c r="I48" s="16" t="n">
        <x:f>IF(F48=D48,G48-E48,"")</x:f>
        <x:v>0</x:v>
      </x:c>
      <x:c r="J48" s="16" t="n">
        <x:f>'Run Data'!K102</x:f>
        <x:v>3.629286</x:v>
      </x:c>
      <x:c r="K48" s="16" t="n">
        <x:f>'Run Data'!K156</x:f>
        <x:v>3.57628</x:v>
      </x:c>
    </x:row>
    <x:row r="49">
      <x:c r="A49" t="str">
        <x:v>No_Adaptive</x:v>
      </x:c>
      <x:c r="B49" t="str">
        <x:v>rc204C5</x:v>
      </x:c>
      <x:c r="C49" s="15" t="n">
        <x:v>66</x:v>
      </x:c>
      <x:c r="D49" s="15" t="n">
        <x:f>'Run Data'!I103</x:f>
        <x:v>1</x:v>
      </x:c>
      <x:c r="E49" s="16" t="n">
        <x:f>'Run Data'!J103</x:f>
        <x:v>179.162472</x:v>
      </x:c>
      <x:c r="F49" s="15" t="n">
        <x:f>'Run Data'!I157</x:f>
        <x:v>1</x:v>
      </x:c>
      <x:c r="G49" s="16" t="n">
        <x:f>'Run Data'!J157</x:f>
        <x:v>179.162472</x:v>
      </x:c>
      <x:c r="H49" s="26" t="str">
        <x:f>IF(F49&lt;D49,"Ablation better",IF(F49&gt;D49,"Full better",IF(G49&lt;E49-'Protocol'!$B$13,"Ablation better",IF(G49&gt;E49+'Protocol'!$B$13,"Full better","Tie"))))</x:f>
        <x:v>Tie</x:v>
      </x:c>
      <x:c r="I49" s="16" t="n">
        <x:f>IF(F49=D49,G49-E49,"")</x:f>
        <x:v>0</x:v>
      </x:c>
      <x:c r="J49" s="16" t="n">
        <x:f>'Run Data'!K103</x:f>
        <x:v>3.565897</x:v>
      </x:c>
      <x:c r="K49" s="16" t="n">
        <x:f>'Run Data'!K157</x:f>
        <x:v>3.391905</x:v>
      </x:c>
    </x:row>
    <x:row r="50">
      <x:c r="A50" t="str">
        <x:v>No_Adaptive</x:v>
      </x:c>
      <x:c r="B50" t="str">
        <x:v>rc201C10</x:v>
      </x:c>
      <x:c r="C50" s="15" t="n">
        <x:v>64</x:v>
      </x:c>
      <x:c r="D50" s="15" t="n">
        <x:f>'Run Data'!I104</x:f>
        <x:v>1</x:v>
      </x:c>
      <x:c r="E50" s="16" t="n">
        <x:f>'Run Data'!J104</x:f>
        <x:v>412.861395</x:v>
      </x:c>
      <x:c r="F50" s="15" t="n">
        <x:f>'Run Data'!I158</x:f>
        <x:v>1</x:v>
      </x:c>
      <x:c r="G50" s="16" t="n">
        <x:f>'Run Data'!J158</x:f>
        <x:v>412.861395</x:v>
      </x:c>
      <x:c r="H50" s="26" t="str">
        <x:f>IF(F50&lt;D50,"Ablation better",IF(F50&gt;D50,"Full better",IF(G50&lt;E50-'Protocol'!$B$13,"Ablation better",IF(G50&gt;E50+'Protocol'!$B$13,"Full better","Tie"))))</x:f>
        <x:v>Tie</x:v>
      </x:c>
      <x:c r="I50" s="16" t="n">
        <x:f>IF(F50=D50,G50-E50,"")</x:f>
        <x:v>0</x:v>
      </x:c>
      <x:c r="J50" s="16" t="n">
        <x:f>'Run Data'!K104</x:f>
        <x:v>24.297968</x:v>
      </x:c>
      <x:c r="K50" s="16" t="n">
        <x:f>'Run Data'!K158</x:f>
        <x:v>23.389883</x:v>
      </x:c>
    </x:row>
    <x:row r="51">
      <x:c r="A51" t="str">
        <x:v>No_Adaptive</x:v>
      </x:c>
      <x:c r="B51" t="str">
        <x:v>rc201C10</x:v>
      </x:c>
      <x:c r="C51" s="15" t="n">
        <x:v>65</x:v>
      </x:c>
      <x:c r="D51" s="15" t="n">
        <x:f>'Run Data'!I105</x:f>
        <x:v>1</x:v>
      </x:c>
      <x:c r="E51" s="16" t="n">
        <x:f>'Run Data'!J105</x:f>
        <x:v>412.861395</x:v>
      </x:c>
      <x:c r="F51" s="15" t="n">
        <x:f>'Run Data'!I159</x:f>
        <x:v>1</x:v>
      </x:c>
      <x:c r="G51" s="16" t="n">
        <x:f>'Run Data'!J159</x:f>
        <x:v>412.861395</x:v>
      </x:c>
      <x:c r="H51" s="26" t="str">
        <x:f>IF(F51&lt;D51,"Ablation better",IF(F51&gt;D51,"Full better",IF(G51&lt;E51-'Protocol'!$B$13,"Ablation better",IF(G51&gt;E51+'Protocol'!$B$13,"Full better","Tie"))))</x:f>
        <x:v>Tie</x:v>
      </x:c>
      <x:c r="I51" s="16" t="n">
        <x:f>IF(F51=D51,G51-E51,"")</x:f>
        <x:v>0</x:v>
      </x:c>
      <x:c r="J51" s="16" t="n">
        <x:f>'Run Data'!K105</x:f>
        <x:v>25.454874</x:v>
      </x:c>
      <x:c r="K51" s="16" t="n">
        <x:f>'Run Data'!K159</x:f>
        <x:v>24.814251</x:v>
      </x:c>
    </x:row>
    <x:row r="52">
      <x:c r="A52" t="str">
        <x:v>No_Adaptive</x:v>
      </x:c>
      <x:c r="B52" t="str">
        <x:v>rc201C10</x:v>
      </x:c>
      <x:c r="C52" s="15" t="n">
        <x:v>66</x:v>
      </x:c>
      <x:c r="D52" s="15" t="n">
        <x:f>'Run Data'!I106</x:f>
        <x:v>1</x:v>
      </x:c>
      <x:c r="E52" s="16" t="n">
        <x:f>'Run Data'!J106</x:f>
        <x:v>412.861395</x:v>
      </x:c>
      <x:c r="F52" s="15" t="n">
        <x:f>'Run Data'!I160</x:f>
        <x:v>1</x:v>
      </x:c>
      <x:c r="G52" s="16" t="n">
        <x:f>'Run Data'!J160</x:f>
        <x:v>412.861395</x:v>
      </x:c>
      <x:c r="H52" s="26" t="str">
        <x:f>IF(F52&lt;D52,"Ablation better",IF(F52&gt;D52,"Full better",IF(G52&lt;E52-'Protocol'!$B$13,"Ablation better",IF(G52&gt;E52+'Protocol'!$B$13,"Full better","Tie"))))</x:f>
        <x:v>Tie</x:v>
      </x:c>
      <x:c r="I52" s="16" t="n">
        <x:f>IF(F52=D52,G52-E52,"")</x:f>
        <x:v>0</x:v>
      </x:c>
      <x:c r="J52" s="16" t="n">
        <x:f>'Run Data'!K106</x:f>
        <x:v>24.453904</x:v>
      </x:c>
      <x:c r="K52" s="16" t="n">
        <x:f>'Run Data'!K160</x:f>
        <x:v>23.456692</x:v>
      </x:c>
    </x:row>
    <x:row r="53">
      <x:c r="A53" t="str">
        <x:v>No_Adaptive</x:v>
      </x:c>
      <x:c r="B53" t="str">
        <x:v>rc202C15</x:v>
      </x:c>
      <x:c r="C53" s="15" t="n">
        <x:v>64</x:v>
      </x:c>
      <x:c r="D53" s="15" t="n">
        <x:f>'Run Data'!I107</x:f>
        <x:v>2</x:v>
      </x:c>
      <x:c r="E53" s="16" t="n">
        <x:f>'Run Data'!J107</x:f>
        <x:v>394.387139</x:v>
      </x:c>
      <x:c r="F53" s="15" t="n">
        <x:f>'Run Data'!I161</x:f>
        <x:v>2</x:v>
      </x:c>
      <x:c r="G53" s="16" t="n">
        <x:f>'Run Data'!J161</x:f>
        <x:v>458.254671</x:v>
      </x:c>
      <x:c r="H53" s="26" t="str">
        <x:f>IF(F53&lt;D53,"Ablation better",IF(F53&gt;D53,"Full better",IF(G53&lt;E53-'Protocol'!$B$13,"Ablation better",IF(G53&gt;E53+'Protocol'!$B$13,"Full better","Tie"))))</x:f>
        <x:v>Full better</x:v>
      </x:c>
      <x:c r="I53" s="16" t="n">
        <x:f>IF(F53=D53,G53-E53,"")</x:f>
        <x:v>63.86753199999998</x:v>
      </x:c>
      <x:c r="J53" s="16" t="n">
        <x:f>'Run Data'!K107</x:f>
        <x:v>145.443556</x:v>
      </x:c>
      <x:c r="K53" s="16" t="n">
        <x:f>'Run Data'!K161</x:f>
        <x:v>155.123522</x:v>
      </x:c>
    </x:row>
    <x:row r="54">
      <x:c r="A54" t="str">
        <x:v>No_Adaptive</x:v>
      </x:c>
      <x:c r="B54" t="str">
        <x:v>rc202C15</x:v>
      </x:c>
      <x:c r="C54" s="15" t="n">
        <x:v>65</x:v>
      </x:c>
      <x:c r="D54" s="15" t="n">
        <x:f>'Run Data'!I108</x:f>
        <x:v>2</x:v>
      </x:c>
      <x:c r="E54" s="16" t="n">
        <x:f>'Run Data'!J108</x:f>
        <x:v>394.387139</x:v>
      </x:c>
      <x:c r="F54" s="15" t="n">
        <x:f>'Run Data'!I162</x:f>
        <x:v>2</x:v>
      </x:c>
      <x:c r="G54" s="16" t="n">
        <x:f>'Run Data'!J162</x:f>
        <x:v>458.254671</x:v>
      </x:c>
      <x:c r="H54" s="26" t="str">
        <x:f>IF(F54&lt;D54,"Ablation better",IF(F54&gt;D54,"Full better",IF(G54&lt;E54-'Protocol'!$B$13,"Ablation better",IF(G54&gt;E54+'Protocol'!$B$13,"Full better","Tie"))))</x:f>
        <x:v>Full better</x:v>
      </x:c>
      <x:c r="I54" s="16" t="n">
        <x:f>IF(F54=D54,G54-E54,"")</x:f>
        <x:v>63.86753199999998</x:v>
      </x:c>
      <x:c r="J54" s="16" t="n">
        <x:f>'Run Data'!K108</x:f>
        <x:v>143.618389</x:v>
      </x:c>
      <x:c r="K54" s="16" t="n">
        <x:f>'Run Data'!K162</x:f>
        <x:v>134.522249</x:v>
      </x:c>
    </x:row>
    <x:row r="55">
      <x:c r="A55" t="str">
        <x:v>No_Adaptive</x:v>
      </x:c>
      <x:c r="B55" t="str">
        <x:v>rc202C15</x:v>
      </x:c>
      <x:c r="C55" s="15" t="n">
        <x:v>66</x:v>
      </x:c>
      <x:c r="D55" s="15" t="n">
        <x:f>'Run Data'!I109</x:f>
        <x:v>2</x:v>
      </x:c>
      <x:c r="E55" s="16" t="n">
        <x:f>'Run Data'!J109</x:f>
        <x:v>394.387139</x:v>
      </x:c>
      <x:c r="F55" s="15" t="n">
        <x:f>'Run Data'!I163</x:f>
        <x:v>2</x:v>
      </x:c>
      <x:c r="G55" s="16" t="n">
        <x:f>'Run Data'!J163</x:f>
        <x:v>394.387139</x:v>
      </x:c>
      <x:c r="H55" s="26" t="str">
        <x:f>IF(F55&lt;D55,"Ablation better",IF(F55&gt;D55,"Full better",IF(G55&lt;E55-'Protocol'!$B$13,"Ablation better",IF(G55&gt;E55+'Protocol'!$B$13,"Full better","Tie"))))</x:f>
        <x:v>Tie</x:v>
      </x:c>
      <x:c r="I55" s="16" t="n">
        <x:f>IF(F55=D55,G55-E55,"")</x:f>
        <x:v>0</x:v>
      </x:c>
      <x:c r="J55" s="16" t="n">
        <x:f>'Run Data'!K109</x:f>
        <x:v>135.728162</x:v>
      </x:c>
      <x:c r="K55" s="16" t="n">
        <x:f>'Run Data'!K163</x:f>
        <x:v>123.275915</x:v>
      </x:c>
    </x:row>
    <x:row r="56">
      <x:c r="A56" t="str">
        <x:v>No_SA</x:v>
      </x:c>
      <x:c r="B56" t="str">
        <x:v>c101C5</x:v>
      </x:c>
      <x:c r="C56" s="15" t="n">
        <x:v>64</x:v>
      </x:c>
      <x:c r="D56" s="15" t="n">
        <x:f>'Run Data'!I56</x:f>
        <x:v>3</x:v>
      </x:c>
      <x:c r="E56" s="16" t="n">
        <x:f>'Run Data'!J56</x:f>
        <x:v>247.149706</x:v>
      </x:c>
      <x:c r="F56" s="15" t="n">
        <x:f>'Run Data'!I164</x:f>
        <x:v>3</x:v>
      </x:c>
      <x:c r="G56" s="16" t="n">
        <x:f>'Run Data'!J164</x:f>
        <x:v>247.149706</x:v>
      </x:c>
      <x:c r="H56" s="26" t="str">
        <x:f>IF(F56&lt;D56,"Ablation better",IF(F56&gt;D56,"Full better",IF(G56&lt;E56-'Protocol'!$B$13,"Ablation better",IF(G56&gt;E56+'Protocol'!$B$13,"Full better","Tie"))))</x:f>
        <x:v>Tie</x:v>
      </x:c>
      <x:c r="I56" s="16" t="n">
        <x:f>IF(F56=D56,G56-E56,"")</x:f>
        <x:v>0</x:v>
      </x:c>
      <x:c r="J56" s="16" t="n">
        <x:f>'Run Data'!K56</x:f>
        <x:v>1.139474</x:v>
      </x:c>
      <x:c r="K56" s="16" t="n">
        <x:f>'Run Data'!K164</x:f>
        <x:v>1.090537</x:v>
      </x:c>
    </x:row>
    <x:row r="57">
      <x:c r="A57" t="str">
        <x:v>No_SA</x:v>
      </x:c>
      <x:c r="B57" t="str">
        <x:v>c101C5</x:v>
      </x:c>
      <x:c r="C57" s="15" t="n">
        <x:v>65</x:v>
      </x:c>
      <x:c r="D57" s="15" t="n">
        <x:f>'Run Data'!I57</x:f>
        <x:v>3</x:v>
      </x:c>
      <x:c r="E57" s="16" t="n">
        <x:f>'Run Data'!J57</x:f>
        <x:v>247.149706</x:v>
      </x:c>
      <x:c r="F57" s="15" t="n">
        <x:f>'Run Data'!I165</x:f>
        <x:v>3</x:v>
      </x:c>
      <x:c r="G57" s="16" t="n">
        <x:f>'Run Data'!J165</x:f>
        <x:v>247.149706</x:v>
      </x:c>
      <x:c r="H57" s="26" t="str">
        <x:f>IF(F57&lt;D57,"Ablation better",IF(F57&gt;D57,"Full better",IF(G57&lt;E57-'Protocol'!$B$13,"Ablation better",IF(G57&gt;E57+'Protocol'!$B$13,"Full better","Tie"))))</x:f>
        <x:v>Tie</x:v>
      </x:c>
      <x:c r="I57" s="16" t="n">
        <x:f>IF(F57=D57,G57-E57,"")</x:f>
        <x:v>0</x:v>
      </x:c>
      <x:c r="J57" s="16" t="n">
        <x:f>'Run Data'!K57</x:f>
        <x:v>1.16619</x:v>
      </x:c>
      <x:c r="K57" s="16" t="n">
        <x:f>'Run Data'!K165</x:f>
        <x:v>1.067063</x:v>
      </x:c>
    </x:row>
    <x:row r="58">
      <x:c r="A58" t="str">
        <x:v>No_SA</x:v>
      </x:c>
      <x:c r="B58" t="str">
        <x:v>c101C5</x:v>
      </x:c>
      <x:c r="C58" s="15" t="n">
        <x:v>66</x:v>
      </x:c>
      <x:c r="D58" s="15" t="n">
        <x:f>'Run Data'!I58</x:f>
        <x:v>3</x:v>
      </x:c>
      <x:c r="E58" s="16" t="n">
        <x:f>'Run Data'!J58</x:f>
        <x:v>247.149706</x:v>
      </x:c>
      <x:c r="F58" s="15" t="n">
        <x:f>'Run Data'!I166</x:f>
        <x:v>3</x:v>
      </x:c>
      <x:c r="G58" s="16" t="n">
        <x:f>'Run Data'!J166</x:f>
        <x:v>247.149706</x:v>
      </x:c>
      <x:c r="H58" s="26" t="str">
        <x:f>IF(F58&lt;D58,"Ablation better",IF(F58&gt;D58,"Full better",IF(G58&lt;E58-'Protocol'!$B$13,"Ablation better",IF(G58&gt;E58+'Protocol'!$B$13,"Full better","Tie"))))</x:f>
        <x:v>Tie</x:v>
      </x:c>
      <x:c r="I58" s="16" t="n">
        <x:f>IF(F58=D58,G58-E58,"")</x:f>
        <x:v>0</x:v>
      </x:c>
      <x:c r="J58" s="16" t="n">
        <x:f>'Run Data'!K58</x:f>
        <x:v>1.183372</x:v>
      </x:c>
      <x:c r="K58" s="16" t="n">
        <x:f>'Run Data'!K166</x:f>
        <x:v>1.137355</x:v>
      </x:c>
    </x:row>
    <x:row r="59">
      <x:c r="A59" t="str">
        <x:v>No_SA</x:v>
      </x:c>
      <x:c r="B59" t="str">
        <x:v>c101C10</x:v>
      </x:c>
      <x:c r="C59" s="15" t="n">
        <x:v>64</x:v>
      </x:c>
      <x:c r="D59" s="15" t="n">
        <x:f>'Run Data'!I59</x:f>
        <x:v>3</x:v>
      </x:c>
      <x:c r="E59" s="16" t="n">
        <x:f>'Run Data'!J59</x:f>
        <x:v>408.477828</x:v>
      </x:c>
      <x:c r="F59" s="15" t="n">
        <x:f>'Run Data'!I167</x:f>
        <x:v>3</x:v>
      </x:c>
      <x:c r="G59" s="16" t="n">
        <x:f>'Run Data'!J167</x:f>
        <x:v>408.477828</x:v>
      </x:c>
      <x:c r="H59" s="26" t="str">
        <x:f>IF(F59&lt;D59,"Ablation better",IF(F59&gt;D59,"Full better",IF(G59&lt;E59-'Protocol'!$B$13,"Ablation better",IF(G59&gt;E59+'Protocol'!$B$13,"Full better","Tie"))))</x:f>
        <x:v>Tie</x:v>
      </x:c>
      <x:c r="I59" s="16" t="n">
        <x:f>IF(F59=D59,G59-E59,"")</x:f>
        <x:v>0</x:v>
      </x:c>
      <x:c r="J59" s="16" t="n">
        <x:f>'Run Data'!K59</x:f>
        <x:v>21.797258</x:v>
      </x:c>
      <x:c r="K59" s="16" t="n">
        <x:f>'Run Data'!K167</x:f>
        <x:v>19.674301</x:v>
      </x:c>
    </x:row>
    <x:row r="60">
      <x:c r="A60" t="str">
        <x:v>No_SA</x:v>
      </x:c>
      <x:c r="B60" t="str">
        <x:v>c101C10</x:v>
      </x:c>
      <x:c r="C60" s="15" t="n">
        <x:v>65</x:v>
      </x:c>
      <x:c r="D60" s="15" t="n">
        <x:f>'Run Data'!I60</x:f>
        <x:v>3</x:v>
      </x:c>
      <x:c r="E60" s="16" t="n">
        <x:f>'Run Data'!J60</x:f>
        <x:v>408.477828</x:v>
      </x:c>
      <x:c r="F60" s="15" t="n">
        <x:f>'Run Data'!I168</x:f>
        <x:v>3</x:v>
      </x:c>
      <x:c r="G60" s="16" t="n">
        <x:f>'Run Data'!J168</x:f>
        <x:v>408.477828</x:v>
      </x:c>
      <x:c r="H60" s="26" t="str">
        <x:f>IF(F60&lt;D60,"Ablation better",IF(F60&gt;D60,"Full better",IF(G60&lt;E60-'Protocol'!$B$13,"Ablation better",IF(G60&gt;E60+'Protocol'!$B$13,"Full better","Tie"))))</x:f>
        <x:v>Tie</x:v>
      </x:c>
      <x:c r="I60" s="16" t="n">
        <x:f>IF(F60=D60,G60-E60,"")</x:f>
        <x:v>0</x:v>
      </x:c>
      <x:c r="J60" s="16" t="n">
        <x:f>'Run Data'!K60</x:f>
        <x:v>22.588583</x:v>
      </x:c>
      <x:c r="K60" s="16" t="n">
        <x:f>'Run Data'!K168</x:f>
        <x:v>20.667723</x:v>
      </x:c>
    </x:row>
    <x:row r="61">
      <x:c r="A61" t="str">
        <x:v>No_SA</x:v>
      </x:c>
      <x:c r="B61" t="str">
        <x:v>c101C10</x:v>
      </x:c>
      <x:c r="C61" s="15" t="n">
        <x:v>66</x:v>
      </x:c>
      <x:c r="D61" s="15" t="n">
        <x:f>'Run Data'!I61</x:f>
        <x:v>3</x:v>
      </x:c>
      <x:c r="E61" s="16" t="n">
        <x:f>'Run Data'!J61</x:f>
        <x:v>408.477828</x:v>
      </x:c>
      <x:c r="F61" s="15" t="n">
        <x:f>'Run Data'!I169</x:f>
        <x:v>3</x:v>
      </x:c>
      <x:c r="G61" s="16" t="n">
        <x:f>'Run Data'!J169</x:f>
        <x:v>408.477828</x:v>
      </x:c>
      <x:c r="H61" s="26" t="str">
        <x:f>IF(F61&lt;D61,"Ablation better",IF(F61&gt;D61,"Full better",IF(G61&lt;E61-'Protocol'!$B$13,"Ablation better",IF(G61&gt;E61+'Protocol'!$B$13,"Full better","Tie"))))</x:f>
        <x:v>Tie</x:v>
      </x:c>
      <x:c r="I61" s="16" t="n">
        <x:f>IF(F61=D61,G61-E61,"")</x:f>
        <x:v>0</x:v>
      </x:c>
      <x:c r="J61" s="16" t="n">
        <x:f>'Run Data'!K61</x:f>
        <x:v>22.858427</x:v>
      </x:c>
      <x:c r="K61" s="16" t="n">
        <x:f>'Run Data'!K169</x:f>
        <x:v>21.22865</x:v>
      </x:c>
    </x:row>
    <x:row r="62">
      <x:c r="A62" t="str">
        <x:v>No_SA</x:v>
      </x:c>
      <x:c r="B62" t="str">
        <x:v>c103C15</x:v>
      </x:c>
      <x:c r="C62" s="15" t="n">
        <x:v>64</x:v>
      </x:c>
      <x:c r="D62" s="15" t="n">
        <x:f>'Run Data'!I62</x:f>
        <x:v>3</x:v>
      </x:c>
      <x:c r="E62" s="16" t="n">
        <x:f>'Run Data'!J62</x:f>
        <x:v>392.977769</x:v>
      </x:c>
      <x:c r="F62" s="15" t="n">
        <x:f>'Run Data'!I170</x:f>
        <x:v>3</x:v>
      </x:c>
      <x:c r="G62" s="16" t="n">
        <x:f>'Run Data'!J170</x:f>
        <x:v>392.977769</x:v>
      </x:c>
      <x:c r="H62" s="26" t="str">
        <x:f>IF(F62&lt;D62,"Ablation better",IF(F62&gt;D62,"Full better",IF(G62&lt;E62-'Protocol'!$B$13,"Ablation better",IF(G62&gt;E62+'Protocol'!$B$13,"Full better","Tie"))))</x:f>
        <x:v>Tie</x:v>
      </x:c>
      <x:c r="I62" s="16" t="n">
        <x:f>IF(F62=D62,G62-E62,"")</x:f>
        <x:v>0</x:v>
      </x:c>
      <x:c r="J62" s="16" t="n">
        <x:f>'Run Data'!K62</x:f>
        <x:v>79.235737</x:v>
      </x:c>
      <x:c r="K62" s="16" t="n">
        <x:f>'Run Data'!K170</x:f>
        <x:v>66.247607</x:v>
      </x:c>
    </x:row>
    <x:row r="63">
      <x:c r="A63" t="str">
        <x:v>No_SA</x:v>
      </x:c>
      <x:c r="B63" t="str">
        <x:v>c103C15</x:v>
      </x:c>
      <x:c r="C63" s="15" t="n">
        <x:v>65</x:v>
      </x:c>
      <x:c r="D63" s="15" t="n">
        <x:f>'Run Data'!I63</x:f>
        <x:v>3</x:v>
      </x:c>
      <x:c r="E63" s="16" t="n">
        <x:f>'Run Data'!J63</x:f>
        <x:v>392.977769</x:v>
      </x:c>
      <x:c r="F63" s="15" t="n">
        <x:f>'Run Data'!I171</x:f>
        <x:v>3</x:v>
      </x:c>
      <x:c r="G63" s="16" t="n">
        <x:f>'Run Data'!J171</x:f>
        <x:v>392.977769</x:v>
      </x:c>
      <x:c r="H63" s="26" t="str">
        <x:f>IF(F63&lt;D63,"Ablation better",IF(F63&gt;D63,"Full better",IF(G63&lt;E63-'Protocol'!$B$13,"Ablation better",IF(G63&gt;E63+'Protocol'!$B$13,"Full better","Tie"))))</x:f>
        <x:v>Tie</x:v>
      </x:c>
      <x:c r="I63" s="16" t="n">
        <x:f>IF(F63=D63,G63-E63,"")</x:f>
        <x:v>0</x:v>
      </x:c>
      <x:c r="J63" s="16" t="n">
        <x:f>'Run Data'!K63</x:f>
        <x:v>75.180012</x:v>
      </x:c>
      <x:c r="K63" s="16" t="n">
        <x:f>'Run Data'!K171</x:f>
        <x:v>66.448794</x:v>
      </x:c>
    </x:row>
    <x:row r="64">
      <x:c r="A64" t="str">
        <x:v>No_SA</x:v>
      </x:c>
      <x:c r="B64" t="str">
        <x:v>c103C15</x:v>
      </x:c>
      <x:c r="C64" s="15" t="n">
        <x:v>66</x:v>
      </x:c>
      <x:c r="D64" s="15" t="n">
        <x:f>'Run Data'!I64</x:f>
        <x:v>3</x:v>
      </x:c>
      <x:c r="E64" s="16" t="n">
        <x:f>'Run Data'!J64</x:f>
        <x:v>392.977769</x:v>
      </x:c>
      <x:c r="F64" s="15" t="n">
        <x:f>'Run Data'!I172</x:f>
        <x:v>3</x:v>
      </x:c>
      <x:c r="G64" s="16" t="n">
        <x:f>'Run Data'!J172</x:f>
        <x:v>392.977769</x:v>
      </x:c>
      <x:c r="H64" s="26" t="str">
        <x:f>IF(F64&lt;D64,"Ablation better",IF(F64&gt;D64,"Full better",IF(G64&lt;E64-'Protocol'!$B$13,"Ablation better",IF(G64&gt;E64+'Protocol'!$B$13,"Full better","Tie"))))</x:f>
        <x:v>Tie</x:v>
      </x:c>
      <x:c r="I64" s="16" t="n">
        <x:f>IF(F64=D64,G64-E64,"")</x:f>
        <x:v>0</x:v>
      </x:c>
      <x:c r="J64" s="16" t="n">
        <x:f>'Run Data'!K64</x:f>
        <x:v>82.559186</x:v>
      </x:c>
      <x:c r="K64" s="16" t="n">
        <x:f>'Run Data'!K172</x:f>
        <x:v>73.476163</x:v>
      </x:c>
    </x:row>
    <x:row r="65">
      <x:c r="A65" t="str">
        <x:v>No_SA</x:v>
      </x:c>
      <x:c r="B65" t="str">
        <x:v>c206C5</x:v>
      </x:c>
      <x:c r="C65" s="15" t="n">
        <x:v>64</x:v>
      </x:c>
      <x:c r="D65" s="15" t="n">
        <x:f>'Run Data'!I65</x:f>
        <x:v>1</x:v>
      </x:c>
      <x:c r="E65" s="16" t="n">
        <x:f>'Run Data'!J65</x:f>
        <x:v>242.555652</x:v>
      </x:c>
      <x:c r="F65" s="15" t="n">
        <x:f>'Run Data'!I173</x:f>
        <x:v>1</x:v>
      </x:c>
      <x:c r="G65" s="16" t="n">
        <x:f>'Run Data'!J173</x:f>
        <x:v>242.555652</x:v>
      </x:c>
      <x:c r="H65" s="26" t="str">
        <x:f>IF(F65&lt;D65,"Ablation better",IF(F65&gt;D65,"Full better",IF(G65&lt;E65-'Protocol'!$B$13,"Ablation better",IF(G65&gt;E65+'Protocol'!$B$13,"Full better","Tie"))))</x:f>
        <x:v>Tie</x:v>
      </x:c>
      <x:c r="I65" s="16" t="n">
        <x:f>IF(F65=D65,G65-E65,"")</x:f>
        <x:v>0</x:v>
      </x:c>
      <x:c r="J65" s="16" t="n">
        <x:f>'Run Data'!K65</x:f>
        <x:v>2.150285</x:v>
      </x:c>
      <x:c r="K65" s="16" t="n">
        <x:f>'Run Data'!K173</x:f>
        <x:v>2.086423</x:v>
      </x:c>
    </x:row>
    <x:row r="66">
      <x:c r="A66" t="str">
        <x:v>No_SA</x:v>
      </x:c>
      <x:c r="B66" t="str">
        <x:v>c206C5</x:v>
      </x:c>
      <x:c r="C66" s="15" t="n">
        <x:v>65</x:v>
      </x:c>
      <x:c r="D66" s="15" t="n">
        <x:f>'Run Data'!I66</x:f>
        <x:v>1</x:v>
      </x:c>
      <x:c r="E66" s="16" t="n">
        <x:f>'Run Data'!J66</x:f>
        <x:v>242.555652</x:v>
      </x:c>
      <x:c r="F66" s="15" t="n">
        <x:f>'Run Data'!I174</x:f>
        <x:v>1</x:v>
      </x:c>
      <x:c r="G66" s="16" t="n">
        <x:f>'Run Data'!J174</x:f>
        <x:v>242.555652</x:v>
      </x:c>
      <x:c r="H66" s="26" t="str">
        <x:f>IF(F66&lt;D66,"Ablation better",IF(F66&gt;D66,"Full better",IF(G66&lt;E66-'Protocol'!$B$13,"Ablation better",IF(G66&gt;E66+'Protocol'!$B$13,"Full better","Tie"))))</x:f>
        <x:v>Tie</x:v>
      </x:c>
      <x:c r="I66" s="16" t="n">
        <x:f>IF(F66=D66,G66-E66,"")</x:f>
        <x:v>0</x:v>
      </x:c>
      <x:c r="J66" s="16" t="n">
        <x:f>'Run Data'!K66</x:f>
        <x:v>2.347707</x:v>
      </x:c>
      <x:c r="K66" s="16" t="n">
        <x:f>'Run Data'!K174</x:f>
        <x:v>2.08294</x:v>
      </x:c>
    </x:row>
    <x:row r="67">
      <x:c r="A67" t="str">
        <x:v>No_SA</x:v>
      </x:c>
      <x:c r="B67" t="str">
        <x:v>c206C5</x:v>
      </x:c>
      <x:c r="C67" s="15" t="n">
        <x:v>66</x:v>
      </x:c>
      <x:c r="D67" s="15" t="n">
        <x:f>'Run Data'!I67</x:f>
        <x:v>1</x:v>
      </x:c>
      <x:c r="E67" s="16" t="n">
        <x:f>'Run Data'!J67</x:f>
        <x:v>242.555652</x:v>
      </x:c>
      <x:c r="F67" s="15" t="n">
        <x:f>'Run Data'!I175</x:f>
        <x:v>1</x:v>
      </x:c>
      <x:c r="G67" s="16" t="n">
        <x:f>'Run Data'!J175</x:f>
        <x:v>242.555652</x:v>
      </x:c>
      <x:c r="H67" s="26" t="str">
        <x:f>IF(F67&lt;D67,"Ablation better",IF(F67&gt;D67,"Full better",IF(G67&lt;E67-'Protocol'!$B$13,"Ablation better",IF(G67&gt;E67+'Protocol'!$B$13,"Full better","Tie"))))</x:f>
        <x:v>Tie</x:v>
      </x:c>
      <x:c r="I67" s="16" t="n">
        <x:f>IF(F67=D67,G67-E67,"")</x:f>
        <x:v>0</x:v>
      </x:c>
      <x:c r="J67" s="16" t="n">
        <x:f>'Run Data'!K67</x:f>
        <x:v>2.233104</x:v>
      </x:c>
      <x:c r="K67" s="16" t="n">
        <x:f>'Run Data'!K175</x:f>
        <x:v>2.151525</x:v>
      </x:c>
    </x:row>
    <x:row r="68">
      <x:c r="A68" t="str">
        <x:v>No_SA</x:v>
      </x:c>
      <x:c r="B68" t="str">
        <x:v>c202C10</x:v>
      </x:c>
      <x:c r="C68" s="15" t="n">
        <x:v>64</x:v>
      </x:c>
      <x:c r="D68" s="15" t="n">
        <x:f>'Run Data'!I68</x:f>
        <x:v>1</x:v>
      </x:c>
      <x:c r="E68" s="16" t="n">
        <x:f>'Run Data'!J68</x:f>
        <x:v>304.058332</x:v>
      </x:c>
      <x:c r="F68" s="15" t="n">
        <x:f>'Run Data'!I176</x:f>
        <x:v>1</x:v>
      </x:c>
      <x:c r="G68" s="16" t="n">
        <x:f>'Run Data'!J176</x:f>
        <x:v>304.058332</x:v>
      </x:c>
      <x:c r="H68" s="26" t="str">
        <x:f>IF(F68&lt;D68,"Ablation better",IF(F68&gt;D68,"Full better",IF(G68&lt;E68-'Protocol'!$B$13,"Ablation better",IF(G68&gt;E68+'Protocol'!$B$13,"Full better","Tie"))))</x:f>
        <x:v>Tie</x:v>
      </x:c>
      <x:c r="I68" s="16" t="n">
        <x:f>IF(F68=D68,G68-E68,"")</x:f>
        <x:v>0</x:v>
      </x:c>
      <x:c r="J68" s="16" t="n">
        <x:f>'Run Data'!K68</x:f>
        <x:v>28.549388</x:v>
      </x:c>
      <x:c r="K68" s="16" t="n">
        <x:f>'Run Data'!K176</x:f>
        <x:v>27.647527</x:v>
      </x:c>
    </x:row>
    <x:row r="69">
      <x:c r="A69" t="str">
        <x:v>No_SA</x:v>
      </x:c>
      <x:c r="B69" t="str">
        <x:v>c202C10</x:v>
      </x:c>
      <x:c r="C69" s="15" t="n">
        <x:v>65</x:v>
      </x:c>
      <x:c r="D69" s="15" t="n">
        <x:f>'Run Data'!I69</x:f>
        <x:v>1</x:v>
      </x:c>
      <x:c r="E69" s="16" t="n">
        <x:f>'Run Data'!J69</x:f>
        <x:v>304.058332</x:v>
      </x:c>
      <x:c r="F69" s="15" t="n">
        <x:f>'Run Data'!I177</x:f>
        <x:v>1</x:v>
      </x:c>
      <x:c r="G69" s="16" t="n">
        <x:f>'Run Data'!J177</x:f>
        <x:v>304.058332</x:v>
      </x:c>
      <x:c r="H69" s="26" t="str">
        <x:f>IF(F69&lt;D69,"Ablation better",IF(F69&gt;D69,"Full better",IF(G69&lt;E69-'Protocol'!$B$13,"Ablation better",IF(G69&gt;E69+'Protocol'!$B$13,"Full better","Tie"))))</x:f>
        <x:v>Tie</x:v>
      </x:c>
      <x:c r="I69" s="16" t="n">
        <x:f>IF(F69=D69,G69-E69,"")</x:f>
        <x:v>0</x:v>
      </x:c>
      <x:c r="J69" s="16" t="n">
        <x:f>'Run Data'!K69</x:f>
        <x:v>28.410061</x:v>
      </x:c>
      <x:c r="K69" s="16" t="n">
        <x:f>'Run Data'!K177</x:f>
        <x:v>27.428139</x:v>
      </x:c>
    </x:row>
    <x:row r="70">
      <x:c r="A70" t="str">
        <x:v>No_SA</x:v>
      </x:c>
      <x:c r="B70" t="str">
        <x:v>c202C10</x:v>
      </x:c>
      <x:c r="C70" s="15" t="n">
        <x:v>66</x:v>
      </x:c>
      <x:c r="D70" s="15" t="n">
        <x:f>'Run Data'!I70</x:f>
        <x:v>1</x:v>
      </x:c>
      <x:c r="E70" s="16" t="n">
        <x:f>'Run Data'!J70</x:f>
        <x:v>304.058332</x:v>
      </x:c>
      <x:c r="F70" s="15" t="n">
        <x:f>'Run Data'!I178</x:f>
        <x:v>1</x:v>
      </x:c>
      <x:c r="G70" s="16" t="n">
        <x:f>'Run Data'!J178</x:f>
        <x:v>304.058332</x:v>
      </x:c>
      <x:c r="H70" s="26" t="str">
        <x:f>IF(F70&lt;D70,"Ablation better",IF(F70&gt;D70,"Full better",IF(G70&lt;E70-'Protocol'!$B$13,"Ablation better",IF(G70&gt;E70+'Protocol'!$B$13,"Full better","Tie"))))</x:f>
        <x:v>Tie</x:v>
      </x:c>
      <x:c r="I70" s="16" t="n">
        <x:f>IF(F70=D70,G70-E70,"")</x:f>
        <x:v>0</x:v>
      </x:c>
      <x:c r="J70" s="16" t="n">
        <x:f>'Run Data'!K70</x:f>
        <x:v>29.022369</x:v>
      </x:c>
      <x:c r="K70" s="16" t="n">
        <x:f>'Run Data'!K178</x:f>
        <x:v>28.237273</x:v>
      </x:c>
    </x:row>
    <x:row r="71">
      <x:c r="A71" t="str">
        <x:v>No_SA</x:v>
      </x:c>
      <x:c r="B71" t="str">
        <x:v>c202C15</x:v>
      </x:c>
      <x:c r="C71" s="15" t="n">
        <x:v>64</x:v>
      </x:c>
      <x:c r="D71" s="15" t="n">
        <x:f>'Run Data'!I71</x:f>
        <x:v>3</x:v>
      </x:c>
      <x:c r="E71" s="16" t="n">
        <x:f>'Run Data'!J71</x:f>
        <x:v>376.789292</x:v>
      </x:c>
      <x:c r="F71" s="15" t="n">
        <x:f>'Run Data'!I179</x:f>
        <x:v>3</x:v>
      </x:c>
      <x:c r="G71" s="16" t="n">
        <x:f>'Run Data'!J179</x:f>
        <x:v>376.789292</x:v>
      </x:c>
      <x:c r="H71" s="26" t="str">
        <x:f>IF(F71&lt;D71,"Ablation better",IF(F71&gt;D71,"Full better",IF(G71&lt;E71-'Protocol'!$B$13,"Ablation better",IF(G71&gt;E71+'Protocol'!$B$13,"Full better","Tie"))))</x:f>
        <x:v>Tie</x:v>
      </x:c>
      <x:c r="I71" s="16" t="n">
        <x:f>IF(F71=D71,G71-E71,"")</x:f>
        <x:v>0</x:v>
      </x:c>
      <x:c r="J71" s="16" t="n">
        <x:f>'Run Data'!K71</x:f>
        <x:v>91.744132</x:v>
      </x:c>
      <x:c r="K71" s="16" t="n">
        <x:f>'Run Data'!K179</x:f>
        <x:v>87.042817</x:v>
      </x:c>
    </x:row>
    <x:row r="72">
      <x:c r="A72" t="str">
        <x:v>No_SA</x:v>
      </x:c>
      <x:c r="B72" t="str">
        <x:v>c202C15</x:v>
      </x:c>
      <x:c r="C72" s="15" t="n">
        <x:v>65</x:v>
      </x:c>
      <x:c r="D72" s="15" t="n">
        <x:f>'Run Data'!I72</x:f>
        <x:v>3</x:v>
      </x:c>
      <x:c r="E72" s="16" t="n">
        <x:f>'Run Data'!J72</x:f>
        <x:v>376.789292</x:v>
      </x:c>
      <x:c r="F72" s="15" t="n">
        <x:f>'Run Data'!I180</x:f>
        <x:v>3</x:v>
      </x:c>
      <x:c r="G72" s="16" t="n">
        <x:f>'Run Data'!J180</x:f>
        <x:v>376.789292</x:v>
      </x:c>
      <x:c r="H72" s="26" t="str">
        <x:f>IF(F72&lt;D72,"Ablation better",IF(F72&gt;D72,"Full better",IF(G72&lt;E72-'Protocol'!$B$13,"Ablation better",IF(G72&gt;E72+'Protocol'!$B$13,"Full better","Tie"))))</x:f>
        <x:v>Tie</x:v>
      </x:c>
      <x:c r="I72" s="16" t="n">
        <x:f>IF(F72=D72,G72-E72,"")</x:f>
        <x:v>0</x:v>
      </x:c>
      <x:c r="J72" s="16" t="n">
        <x:f>'Run Data'!K72</x:f>
        <x:v>92.466362</x:v>
      </x:c>
      <x:c r="K72" s="16" t="n">
        <x:f>'Run Data'!K180</x:f>
        <x:v>84.982776</x:v>
      </x:c>
    </x:row>
    <x:row r="73">
      <x:c r="A73" t="str">
        <x:v>No_SA</x:v>
      </x:c>
      <x:c r="B73" t="str">
        <x:v>c202C15</x:v>
      </x:c>
      <x:c r="C73" s="15" t="n">
        <x:v>66</x:v>
      </x:c>
      <x:c r="D73" s="15" t="n">
        <x:f>'Run Data'!I73</x:f>
        <x:v>3</x:v>
      </x:c>
      <x:c r="E73" s="16" t="n">
        <x:f>'Run Data'!J73</x:f>
        <x:v>376.789292</x:v>
      </x:c>
      <x:c r="F73" s="15" t="n">
        <x:f>'Run Data'!I181</x:f>
        <x:v>3</x:v>
      </x:c>
      <x:c r="G73" s="16" t="n">
        <x:f>'Run Data'!J181</x:f>
        <x:v>376.789292</x:v>
      </x:c>
      <x:c r="H73" s="26" t="str">
        <x:f>IF(F73&lt;D73,"Ablation better",IF(F73&gt;D73,"Full better",IF(G73&lt;E73-'Protocol'!$B$13,"Ablation better",IF(G73&gt;E73+'Protocol'!$B$13,"Full better","Tie"))))</x:f>
        <x:v>Tie</x:v>
      </x:c>
      <x:c r="I73" s="16" t="n">
        <x:f>IF(F73=D73,G73-E73,"")</x:f>
        <x:v>0</x:v>
      </x:c>
      <x:c r="J73" s="16" t="n">
        <x:f>'Run Data'!K73</x:f>
        <x:v>93.889028</x:v>
      </x:c>
      <x:c r="K73" s="16" t="n">
        <x:f>'Run Data'!K181</x:f>
        <x:v>90.983654</x:v>
      </x:c>
    </x:row>
    <x:row r="74">
      <x:c r="A74" t="str">
        <x:v>No_SA</x:v>
      </x:c>
      <x:c r="B74" t="str">
        <x:v>r105C5</x:v>
      </x:c>
      <x:c r="C74" s="15" t="n">
        <x:v>64</x:v>
      </x:c>
      <x:c r="D74" s="15" t="n">
        <x:f>'Run Data'!I74</x:f>
        <x:v>2</x:v>
      </x:c>
      <x:c r="E74" s="16" t="n">
        <x:f>'Run Data'!J74</x:f>
        <x:v>156.082069</x:v>
      </x:c>
      <x:c r="F74" s="15" t="n">
        <x:f>'Run Data'!I182</x:f>
        <x:v>2</x:v>
      </x:c>
      <x:c r="G74" s="16" t="n">
        <x:f>'Run Data'!J182</x:f>
        <x:v>156.082069</x:v>
      </x:c>
      <x:c r="H74" s="26" t="str">
        <x:f>IF(F74&lt;D74,"Ablation better",IF(F74&gt;D74,"Full better",IF(G74&lt;E74-'Protocol'!$B$13,"Ablation better",IF(G74&gt;E74+'Protocol'!$B$13,"Full better","Tie"))))</x:f>
        <x:v>Tie</x:v>
      </x:c>
      <x:c r="I74" s="16" t="n">
        <x:f>IF(F74=D74,G74-E74,"")</x:f>
        <x:v>0</x:v>
      </x:c>
      <x:c r="J74" s="16" t="n">
        <x:f>'Run Data'!K74</x:f>
        <x:v>0.847096</x:v>
      </x:c>
      <x:c r="K74" s="16" t="n">
        <x:f>'Run Data'!K182</x:f>
        <x:v>0.885872</x:v>
      </x:c>
    </x:row>
    <x:row r="75">
      <x:c r="A75" t="str">
        <x:v>No_SA</x:v>
      </x:c>
      <x:c r="B75" t="str">
        <x:v>r105C5</x:v>
      </x:c>
      <x:c r="C75" s="15" t="n">
        <x:v>65</x:v>
      </x:c>
      <x:c r="D75" s="15" t="n">
        <x:f>'Run Data'!I75</x:f>
        <x:v>2</x:v>
      </x:c>
      <x:c r="E75" s="16" t="n">
        <x:f>'Run Data'!J75</x:f>
        <x:v>156.082069</x:v>
      </x:c>
      <x:c r="F75" s="15" t="n">
        <x:f>'Run Data'!I183</x:f>
        <x:v>2</x:v>
      </x:c>
      <x:c r="G75" s="16" t="n">
        <x:f>'Run Data'!J183</x:f>
        <x:v>156.082069</x:v>
      </x:c>
      <x:c r="H75" s="26" t="str">
        <x:f>IF(F75&lt;D75,"Ablation better",IF(F75&gt;D75,"Full better",IF(G75&lt;E75-'Protocol'!$B$13,"Ablation better",IF(G75&gt;E75+'Protocol'!$B$13,"Full better","Tie"))))</x:f>
        <x:v>Tie</x:v>
      </x:c>
      <x:c r="I75" s="16" t="n">
        <x:f>IF(F75=D75,G75-E75,"")</x:f>
        <x:v>0</x:v>
      </x:c>
      <x:c r="J75" s="16" t="n">
        <x:f>'Run Data'!K75</x:f>
        <x:v>0.89902</x:v>
      </x:c>
      <x:c r="K75" s="16" t="n">
        <x:f>'Run Data'!K183</x:f>
        <x:v>0.861166</x:v>
      </x:c>
    </x:row>
    <x:row r="76">
      <x:c r="A76" t="str">
        <x:v>No_SA</x:v>
      </x:c>
      <x:c r="B76" t="str">
        <x:v>r105C5</x:v>
      </x:c>
      <x:c r="C76" s="15" t="n">
        <x:v>66</x:v>
      </x:c>
      <x:c r="D76" s="15" t="n">
        <x:f>'Run Data'!I76</x:f>
        <x:v>2</x:v>
      </x:c>
      <x:c r="E76" s="16" t="n">
        <x:f>'Run Data'!J76</x:f>
        <x:v>156.082069</x:v>
      </x:c>
      <x:c r="F76" s="15" t="n">
        <x:f>'Run Data'!I184</x:f>
        <x:v>2</x:v>
      </x:c>
      <x:c r="G76" s="16" t="n">
        <x:f>'Run Data'!J184</x:f>
        <x:v>156.082069</x:v>
      </x:c>
      <x:c r="H76" s="26" t="str">
        <x:f>IF(F76&lt;D76,"Ablation better",IF(F76&gt;D76,"Full better",IF(G76&lt;E76-'Protocol'!$B$13,"Ablation better",IF(G76&gt;E76+'Protocol'!$B$13,"Full better","Tie"))))</x:f>
        <x:v>Tie</x:v>
      </x:c>
      <x:c r="I76" s="16" t="n">
        <x:f>IF(F76=D76,G76-E76,"")</x:f>
        <x:v>0</x:v>
      </x:c>
      <x:c r="J76" s="16" t="n">
        <x:f>'Run Data'!K76</x:f>
        <x:v>0.921714</x:v>
      </x:c>
      <x:c r="K76" s="16" t="n">
        <x:f>'Run Data'!K184</x:f>
        <x:v>0.902836</x:v>
      </x:c>
    </x:row>
    <x:row r="77">
      <x:c r="A77" t="str">
        <x:v>No_SA</x:v>
      </x:c>
      <x:c r="B77" t="str">
        <x:v>r103C10</x:v>
      </x:c>
      <x:c r="C77" s="15" t="n">
        <x:v>64</x:v>
      </x:c>
      <x:c r="D77" s="15" t="n">
        <x:f>'Run Data'!I77</x:f>
        <x:v>2</x:v>
      </x:c>
      <x:c r="E77" s="16" t="n">
        <x:f>'Run Data'!J77</x:f>
        <x:v>207.051154</x:v>
      </x:c>
      <x:c r="F77" s="15" t="n">
        <x:f>'Run Data'!I185</x:f>
        <x:v>2</x:v>
      </x:c>
      <x:c r="G77" s="16" t="n">
        <x:f>'Run Data'!J185</x:f>
        <x:v>207.051154</x:v>
      </x:c>
      <x:c r="H77" s="26" t="str">
        <x:f>IF(F77&lt;D77,"Ablation better",IF(F77&gt;D77,"Full better",IF(G77&lt;E77-'Protocol'!$B$13,"Ablation better",IF(G77&gt;E77+'Protocol'!$B$13,"Full better","Tie"))))</x:f>
        <x:v>Tie</x:v>
      </x:c>
      <x:c r="I77" s="16" t="n">
        <x:f>IF(F77=D77,G77-E77,"")</x:f>
        <x:v>0</x:v>
      </x:c>
      <x:c r="J77" s="16" t="n">
        <x:f>'Run Data'!K77</x:f>
        <x:v>13.315872</x:v>
      </x:c>
      <x:c r="K77" s="16" t="n">
        <x:f>'Run Data'!K185</x:f>
        <x:v>11.973034</x:v>
      </x:c>
    </x:row>
    <x:row r="78">
      <x:c r="A78" t="str">
        <x:v>No_SA</x:v>
      </x:c>
      <x:c r="B78" t="str">
        <x:v>r103C10</x:v>
      </x:c>
      <x:c r="C78" s="15" t="n">
        <x:v>65</x:v>
      </x:c>
      <x:c r="D78" s="15" t="n">
        <x:f>'Run Data'!I78</x:f>
        <x:v>2</x:v>
      </x:c>
      <x:c r="E78" s="16" t="n">
        <x:f>'Run Data'!J78</x:f>
        <x:v>207.051154</x:v>
      </x:c>
      <x:c r="F78" s="15" t="n">
        <x:f>'Run Data'!I186</x:f>
        <x:v>2</x:v>
      </x:c>
      <x:c r="G78" s="16" t="n">
        <x:f>'Run Data'!J186</x:f>
        <x:v>207.051154</x:v>
      </x:c>
      <x:c r="H78" s="26" t="str">
        <x:f>IF(F78&lt;D78,"Ablation better",IF(F78&gt;D78,"Full better",IF(G78&lt;E78-'Protocol'!$B$13,"Ablation better",IF(G78&gt;E78+'Protocol'!$B$13,"Full better","Tie"))))</x:f>
        <x:v>Tie</x:v>
      </x:c>
      <x:c r="I78" s="16" t="n">
        <x:f>IF(F78=D78,G78-E78,"")</x:f>
        <x:v>0</x:v>
      </x:c>
      <x:c r="J78" s="16" t="n">
        <x:f>'Run Data'!K78</x:f>
        <x:v>11.950364</x:v>
      </x:c>
      <x:c r="K78" s="16" t="n">
        <x:f>'Run Data'!K186</x:f>
        <x:v>12.090156</x:v>
      </x:c>
    </x:row>
    <x:row r="79">
      <x:c r="A79" t="str">
        <x:v>No_SA</x:v>
      </x:c>
      <x:c r="B79" t="str">
        <x:v>r103C10</x:v>
      </x:c>
      <x:c r="C79" s="15" t="n">
        <x:v>66</x:v>
      </x:c>
      <x:c r="D79" s="15" t="n">
        <x:f>'Run Data'!I79</x:f>
        <x:v>2</x:v>
      </x:c>
      <x:c r="E79" s="16" t="n">
        <x:f>'Run Data'!J79</x:f>
        <x:v>207.051154</x:v>
      </x:c>
      <x:c r="F79" s="15" t="n">
        <x:f>'Run Data'!I187</x:f>
        <x:v>2</x:v>
      </x:c>
      <x:c r="G79" s="16" t="n">
        <x:f>'Run Data'!J187</x:f>
        <x:v>207.051154</x:v>
      </x:c>
      <x:c r="H79" s="26" t="str">
        <x:f>IF(F79&lt;D79,"Ablation better",IF(F79&gt;D79,"Full better",IF(G79&lt;E79-'Protocol'!$B$13,"Ablation better",IF(G79&gt;E79+'Protocol'!$B$13,"Full better","Tie"))))</x:f>
        <x:v>Tie</x:v>
      </x:c>
      <x:c r="I79" s="16" t="n">
        <x:f>IF(F79=D79,G79-E79,"")</x:f>
        <x:v>0</x:v>
      </x:c>
      <x:c r="J79" s="16" t="n">
        <x:f>'Run Data'!K79</x:f>
        <x:v>13.25145</x:v>
      </x:c>
      <x:c r="K79" s="16" t="n">
        <x:f>'Run Data'!K187</x:f>
        <x:v>12.285477</x:v>
      </x:c>
    </x:row>
    <x:row r="80">
      <x:c r="A80" t="str">
        <x:v>No_SA</x:v>
      </x:c>
      <x:c r="B80" t="str">
        <x:v>r105C15</x:v>
      </x:c>
      <x:c r="C80" s="15" t="n">
        <x:v>64</x:v>
      </x:c>
      <x:c r="D80" s="15" t="n">
        <x:f>'Run Data'!I80</x:f>
        <x:v>4</x:v>
      </x:c>
      <x:c r="E80" s="16" t="n">
        <x:f>'Run Data'!J80</x:f>
        <x:v>336.153602</x:v>
      </x:c>
      <x:c r="F80" s="15" t="n">
        <x:f>'Run Data'!I188</x:f>
        <x:v>4</x:v>
      </x:c>
      <x:c r="G80" s="16" t="n">
        <x:f>'Run Data'!J188</x:f>
        <x:v>336.153602</x:v>
      </x:c>
      <x:c r="H80" s="26" t="str">
        <x:f>IF(F80&lt;D80,"Ablation better",IF(F80&gt;D80,"Full better",IF(G80&lt;E80-'Protocol'!$B$13,"Ablation better",IF(G80&gt;E80+'Protocol'!$B$13,"Full better","Tie"))))</x:f>
        <x:v>Tie</x:v>
      </x:c>
      <x:c r="I80" s="16" t="n">
        <x:f>IF(F80=D80,G80-E80,"")</x:f>
        <x:v>0</x:v>
      </x:c>
      <x:c r="J80" s="16" t="n">
        <x:f>'Run Data'!K80</x:f>
        <x:v>59.317793</x:v>
      </x:c>
      <x:c r="K80" s="16" t="n">
        <x:f>'Run Data'!K188</x:f>
        <x:v>54.401003</x:v>
      </x:c>
    </x:row>
    <x:row r="81">
      <x:c r="A81" t="str">
        <x:v>No_SA</x:v>
      </x:c>
      <x:c r="B81" t="str">
        <x:v>r105C15</x:v>
      </x:c>
      <x:c r="C81" s="15" t="n">
        <x:v>65</x:v>
      </x:c>
      <x:c r="D81" s="15" t="n">
        <x:f>'Run Data'!I81</x:f>
        <x:v>4</x:v>
      </x:c>
      <x:c r="E81" s="16" t="n">
        <x:f>'Run Data'!J81</x:f>
        <x:v>336.153602</x:v>
      </x:c>
      <x:c r="F81" s="15" t="n">
        <x:f>'Run Data'!I189</x:f>
        <x:v>4</x:v>
      </x:c>
      <x:c r="G81" s="16" t="n">
        <x:f>'Run Data'!J189</x:f>
        <x:v>336.153602</x:v>
      </x:c>
      <x:c r="H81" s="26" t="str">
        <x:f>IF(F81&lt;D81,"Ablation better",IF(F81&gt;D81,"Full better",IF(G81&lt;E81-'Protocol'!$B$13,"Ablation better",IF(G81&gt;E81+'Protocol'!$B$13,"Full better","Tie"))))</x:f>
        <x:v>Tie</x:v>
      </x:c>
      <x:c r="I81" s="16" t="n">
        <x:f>IF(F81=D81,G81-E81,"")</x:f>
        <x:v>0</x:v>
      </x:c>
      <x:c r="J81" s="16" t="n">
        <x:f>'Run Data'!K81</x:f>
        <x:v>51.050495</x:v>
      </x:c>
      <x:c r="K81" s="16" t="n">
        <x:f>'Run Data'!K189</x:f>
        <x:v>46.299812</x:v>
      </x:c>
    </x:row>
    <x:row r="82">
      <x:c r="A82" t="str">
        <x:v>No_SA</x:v>
      </x:c>
      <x:c r="B82" t="str">
        <x:v>r105C15</x:v>
      </x:c>
      <x:c r="C82" s="15" t="n">
        <x:v>66</x:v>
      </x:c>
      <x:c r="D82" s="15" t="n">
        <x:f>'Run Data'!I82</x:f>
        <x:v>4</x:v>
      </x:c>
      <x:c r="E82" s="16" t="n">
        <x:f>'Run Data'!J82</x:f>
        <x:v>336.153602</x:v>
      </x:c>
      <x:c r="F82" s="15" t="n">
        <x:f>'Run Data'!I190</x:f>
        <x:v>4</x:v>
      </x:c>
      <x:c r="G82" s="16" t="n">
        <x:f>'Run Data'!J190</x:f>
        <x:v>336.153602</x:v>
      </x:c>
      <x:c r="H82" s="26" t="str">
        <x:f>IF(F82&lt;D82,"Ablation better",IF(F82&gt;D82,"Full better",IF(G82&lt;E82-'Protocol'!$B$13,"Ablation better",IF(G82&gt;E82+'Protocol'!$B$13,"Full better","Tie"))))</x:f>
        <x:v>Tie</x:v>
      </x:c>
      <x:c r="I82" s="16" t="n">
        <x:f>IF(F82=D82,G82-E82,"")</x:f>
        <x:v>0</x:v>
      </x:c>
      <x:c r="J82" s="16" t="n">
        <x:f>'Run Data'!K82</x:f>
        <x:v>60.642805</x:v>
      </x:c>
      <x:c r="K82" s="16" t="n">
        <x:f>'Run Data'!K190</x:f>
        <x:v>53.717166</x:v>
      </x:c>
    </x:row>
    <x:row r="83">
      <x:c r="A83" t="str">
        <x:v>No_SA</x:v>
      </x:c>
      <x:c r="B83" t="str">
        <x:v>r202C5</x:v>
      </x:c>
      <x:c r="C83" s="15" t="n">
        <x:v>64</x:v>
      </x:c>
      <x:c r="D83" s="15" t="n">
        <x:f>'Run Data'!I83</x:f>
        <x:v>1</x:v>
      </x:c>
      <x:c r="E83" s="16" t="n">
        <x:f>'Run Data'!J83</x:f>
        <x:v>128.777139</x:v>
      </x:c>
      <x:c r="F83" s="15" t="n">
        <x:f>'Run Data'!I191</x:f>
        <x:v>1</x:v>
      </x:c>
      <x:c r="G83" s="16" t="n">
        <x:f>'Run Data'!J191</x:f>
        <x:v>128.777139</x:v>
      </x:c>
      <x:c r="H83" s="26" t="str">
        <x:f>IF(F83&lt;D83,"Ablation better",IF(F83&gt;D83,"Full better",IF(G83&lt;E83-'Protocol'!$B$13,"Ablation better",IF(G83&gt;E83+'Protocol'!$B$13,"Full better","Tie"))))</x:f>
        <x:v>Tie</x:v>
      </x:c>
      <x:c r="I83" s="16" t="n">
        <x:f>IF(F83=D83,G83-E83,"")</x:f>
        <x:v>0</x:v>
      </x:c>
      <x:c r="J83" s="16" t="n">
        <x:f>'Run Data'!K83</x:f>
        <x:v>2.762394</x:v>
      </x:c>
      <x:c r="K83" s="16" t="n">
        <x:f>'Run Data'!K191</x:f>
        <x:v>2.688392</x:v>
      </x:c>
    </x:row>
    <x:row r="84">
      <x:c r="A84" t="str">
        <x:v>No_SA</x:v>
      </x:c>
      <x:c r="B84" t="str">
        <x:v>r202C5</x:v>
      </x:c>
      <x:c r="C84" s="15" t="n">
        <x:v>65</x:v>
      </x:c>
      <x:c r="D84" s="15" t="n">
        <x:f>'Run Data'!I84</x:f>
        <x:v>1</x:v>
      </x:c>
      <x:c r="E84" s="16" t="n">
        <x:f>'Run Data'!J84</x:f>
        <x:v>128.777139</x:v>
      </x:c>
      <x:c r="F84" s="15" t="n">
        <x:f>'Run Data'!I192</x:f>
        <x:v>1</x:v>
      </x:c>
      <x:c r="G84" s="16" t="n">
        <x:f>'Run Data'!J192</x:f>
        <x:v>128.777139</x:v>
      </x:c>
      <x:c r="H84" s="26" t="str">
        <x:f>IF(F84&lt;D84,"Ablation better",IF(F84&gt;D84,"Full better",IF(G84&lt;E84-'Protocol'!$B$13,"Ablation better",IF(G84&gt;E84+'Protocol'!$B$13,"Full better","Tie"))))</x:f>
        <x:v>Tie</x:v>
      </x:c>
      <x:c r="I84" s="16" t="n">
        <x:f>IF(F84=D84,G84-E84,"")</x:f>
        <x:v>0</x:v>
      </x:c>
      <x:c r="J84" s="16" t="n">
        <x:f>'Run Data'!K84</x:f>
        <x:v>2.834729</x:v>
      </x:c>
      <x:c r="K84" s="16" t="n">
        <x:f>'Run Data'!K192</x:f>
        <x:v>2.758075</x:v>
      </x:c>
    </x:row>
    <x:row r="85">
      <x:c r="A85" t="str">
        <x:v>No_SA</x:v>
      </x:c>
      <x:c r="B85" t="str">
        <x:v>r202C5</x:v>
      </x:c>
      <x:c r="C85" s="15" t="n">
        <x:v>66</x:v>
      </x:c>
      <x:c r="D85" s="15" t="n">
        <x:f>'Run Data'!I85</x:f>
        <x:v>1</x:v>
      </x:c>
      <x:c r="E85" s="16" t="n">
        <x:f>'Run Data'!J85</x:f>
        <x:v>128.777139</x:v>
      </x:c>
      <x:c r="F85" s="15" t="n">
        <x:f>'Run Data'!I193</x:f>
        <x:v>1</x:v>
      </x:c>
      <x:c r="G85" s="16" t="n">
        <x:f>'Run Data'!J193</x:f>
        <x:v>128.777139</x:v>
      </x:c>
      <x:c r="H85" s="26" t="str">
        <x:f>IF(F85&lt;D85,"Ablation better",IF(F85&gt;D85,"Full better",IF(G85&lt;E85-'Protocol'!$B$13,"Ablation better",IF(G85&gt;E85+'Protocol'!$B$13,"Full better","Tie"))))</x:f>
        <x:v>Tie</x:v>
      </x:c>
      <x:c r="I85" s="16" t="n">
        <x:f>IF(F85=D85,G85-E85,"")</x:f>
        <x:v>0</x:v>
      </x:c>
      <x:c r="J85" s="16" t="n">
        <x:f>'Run Data'!K85</x:f>
        <x:v>2.88277</x:v>
      </x:c>
      <x:c r="K85" s="16" t="n">
        <x:f>'Run Data'!K193</x:f>
        <x:v>2.808607</x:v>
      </x:c>
    </x:row>
    <x:row r="86">
      <x:c r="A86" t="str">
        <x:v>No_SA</x:v>
      </x:c>
      <x:c r="B86" t="str">
        <x:v>r201C10</x:v>
      </x:c>
      <x:c r="C86" s="15" t="n">
        <x:v>64</x:v>
      </x:c>
      <x:c r="D86" s="15" t="n">
        <x:f>'Run Data'!I86</x:f>
        <x:v>2</x:v>
      </x:c>
      <x:c r="E86" s="16" t="n">
        <x:f>'Run Data'!J86</x:f>
        <x:v>228.355271</x:v>
      </x:c>
      <x:c r="F86" s="15" t="n">
        <x:f>'Run Data'!I194</x:f>
        <x:v>2</x:v>
      </x:c>
      <x:c r="G86" s="16" t="n">
        <x:f>'Run Data'!J194</x:f>
        <x:v>228.355271</x:v>
      </x:c>
      <x:c r="H86" s="26" t="str">
        <x:f>IF(F86&lt;D86,"Ablation better",IF(F86&gt;D86,"Full better",IF(G86&lt;E86-'Protocol'!$B$13,"Ablation better",IF(G86&gt;E86+'Protocol'!$B$13,"Full better","Tie"))))</x:f>
        <x:v>Tie</x:v>
      </x:c>
      <x:c r="I86" s="16" t="n">
        <x:f>IF(F86=D86,G86-E86,"")</x:f>
        <x:v>0</x:v>
      </x:c>
      <x:c r="J86" s="16" t="n">
        <x:f>'Run Data'!K86</x:f>
        <x:v>15.957447</x:v>
      </x:c>
      <x:c r="K86" s="16" t="n">
        <x:f>'Run Data'!K194</x:f>
        <x:v>14.87402</x:v>
      </x:c>
    </x:row>
    <x:row r="87">
      <x:c r="A87" t="str">
        <x:v>No_SA</x:v>
      </x:c>
      <x:c r="B87" t="str">
        <x:v>r201C10</x:v>
      </x:c>
      <x:c r="C87" s="15" t="n">
        <x:v>65</x:v>
      </x:c>
      <x:c r="D87" s="15" t="n">
        <x:f>'Run Data'!I87</x:f>
        <x:v>1</x:v>
      </x:c>
      <x:c r="E87" s="16" t="n">
        <x:f>'Run Data'!J87</x:f>
        <x:v>241.505881</x:v>
      </x:c>
      <x:c r="F87" s="15" t="n">
        <x:f>'Run Data'!I195</x:f>
        <x:v>1</x:v>
      </x:c>
      <x:c r="G87" s="16" t="n">
        <x:f>'Run Data'!J195</x:f>
        <x:v>241.505881</x:v>
      </x:c>
      <x:c r="H87" s="26" t="str">
        <x:f>IF(F87&lt;D87,"Ablation better",IF(F87&gt;D87,"Full better",IF(G87&lt;E87-'Protocol'!$B$13,"Ablation better",IF(G87&gt;E87+'Protocol'!$B$13,"Full better","Tie"))))</x:f>
        <x:v>Tie</x:v>
      </x:c>
      <x:c r="I87" s="16" t="n">
        <x:f>IF(F87=D87,G87-E87,"")</x:f>
        <x:v>0</x:v>
      </x:c>
      <x:c r="J87" s="16" t="n">
        <x:f>'Run Data'!K87</x:f>
        <x:v>27.340475</x:v>
      </x:c>
      <x:c r="K87" s="16" t="n">
        <x:f>'Run Data'!K195</x:f>
        <x:v>24.822221</x:v>
      </x:c>
    </x:row>
    <x:row r="88">
      <x:c r="A88" t="str">
        <x:v>No_SA</x:v>
      </x:c>
      <x:c r="B88" t="str">
        <x:v>r201C10</x:v>
      </x:c>
      <x:c r="C88" s="15" t="n">
        <x:v>66</x:v>
      </x:c>
      <x:c r="D88" s="15" t="n">
        <x:f>'Run Data'!I88</x:f>
        <x:v>1</x:v>
      </x:c>
      <x:c r="E88" s="16" t="n">
        <x:f>'Run Data'!J88</x:f>
        <x:v>241.505881</x:v>
      </x:c>
      <x:c r="F88" s="15" t="n">
        <x:f>'Run Data'!I196</x:f>
        <x:v>1</x:v>
      </x:c>
      <x:c r="G88" s="16" t="n">
        <x:f>'Run Data'!J196</x:f>
        <x:v>241.505881</x:v>
      </x:c>
      <x:c r="H88" s="26" t="str">
        <x:f>IF(F88&lt;D88,"Ablation better",IF(F88&gt;D88,"Full better",IF(G88&lt;E88-'Protocol'!$B$13,"Ablation better",IF(G88&gt;E88+'Protocol'!$B$13,"Full better","Tie"))))</x:f>
        <x:v>Tie</x:v>
      </x:c>
      <x:c r="I88" s="16" t="n">
        <x:f>IF(F88=D88,G88-E88,"")</x:f>
        <x:v>0</x:v>
      </x:c>
      <x:c r="J88" s="16" t="n">
        <x:f>'Run Data'!K88</x:f>
        <x:v>28.335103</x:v>
      </x:c>
      <x:c r="K88" s="16" t="n">
        <x:f>'Run Data'!K196</x:f>
        <x:v>25.998763</x:v>
      </x:c>
    </x:row>
    <x:row r="89">
      <x:c r="A89" t="str">
        <x:v>No_SA</x:v>
      </x:c>
      <x:c r="B89" t="str">
        <x:v>r202C15</x:v>
      </x:c>
      <x:c r="C89" s="15" t="n">
        <x:v>64</x:v>
      </x:c>
      <x:c r="D89" s="15" t="n">
        <x:f>'Run Data'!I89</x:f>
        <x:v>2</x:v>
      </x:c>
      <x:c r="E89" s="16" t="n">
        <x:f>'Run Data'!J89</x:f>
        <x:v>358.004778</x:v>
      </x:c>
      <x:c r="F89" s="15" t="n">
        <x:f>'Run Data'!I197</x:f>
        <x:v>2</x:v>
      </x:c>
      <x:c r="G89" s="16" t="n">
        <x:f>'Run Data'!J197</x:f>
        <x:v>394.973877</x:v>
      </x:c>
      <x:c r="H89" s="26" t="str">
        <x:f>IF(F89&lt;D89,"Ablation better",IF(F89&gt;D89,"Full better",IF(G89&lt;E89-'Protocol'!$B$13,"Ablation better",IF(G89&gt;E89+'Protocol'!$B$13,"Full better","Tie"))))</x:f>
        <x:v>Full better</x:v>
      </x:c>
      <x:c r="I89" s="16" t="n">
        <x:f>IF(F89=D89,G89-E89,"")</x:f>
        <x:v>36.96909900000003</x:v>
      </x:c>
      <x:c r="J89" s="16" t="n">
        <x:f>'Run Data'!K89</x:f>
        <x:v>180.584925</x:v>
      </x:c>
      <x:c r="K89" s="16" t="n">
        <x:f>'Run Data'!K197</x:f>
        <x:v>252.828816</x:v>
      </x:c>
    </x:row>
    <x:row r="90">
      <x:c r="A90" t="str">
        <x:v>No_SA</x:v>
      </x:c>
      <x:c r="B90" t="str">
        <x:v>r202C15</x:v>
      </x:c>
      <x:c r="C90" s="15" t="n">
        <x:v>65</x:v>
      </x:c>
      <x:c r="D90" s="15" t="n">
        <x:f>'Run Data'!I90</x:f>
        <x:v>2</x:v>
      </x:c>
      <x:c r="E90" s="16" t="n">
        <x:f>'Run Data'!J90</x:f>
        <x:v>406.804399</x:v>
      </x:c>
      <x:c r="F90" s="15" t="n">
        <x:f>'Run Data'!I198</x:f>
        <x:v>2</x:v>
      </x:c>
      <x:c r="G90" s="16" t="n">
        <x:f>'Run Data'!J198</x:f>
        <x:v>394.973877</x:v>
      </x:c>
      <x:c r="H90" s="26" t="str">
        <x:f>IF(F90&lt;D90,"Ablation better",IF(F90&gt;D90,"Full better",IF(G90&lt;E90-'Protocol'!$B$13,"Ablation better",IF(G90&gt;E90+'Protocol'!$B$13,"Full better","Tie"))))</x:f>
        <x:v>Ablation better</x:v>
      </x:c>
      <x:c r="I90" s="16" t="n">
        <x:f>IF(F90=D90,G90-E90,"")</x:f>
        <x:v>-11.830521999999974</x:v>
      </x:c>
      <x:c r="J90" s="16" t="n">
        <x:f>'Run Data'!K90</x:f>
        <x:v>293.469101</x:v>
      </x:c>
      <x:c r="K90" s="16" t="n">
        <x:f>'Run Data'!K198</x:f>
        <x:v>277.982993</x:v>
      </x:c>
    </x:row>
    <x:row r="91">
      <x:c r="A91" t="str">
        <x:v>No_SA</x:v>
      </x:c>
      <x:c r="B91" t="str">
        <x:v>r202C15</x:v>
      </x:c>
      <x:c r="C91" s="15" t="n">
        <x:v>66</x:v>
      </x:c>
      <x:c r="D91" s="15" t="n">
        <x:f>'Run Data'!I91</x:f>
        <x:v>2</x:v>
      </x:c>
      <x:c r="E91" s="16" t="n">
        <x:f>'Run Data'!J91</x:f>
        <x:v>358.004778</x:v>
      </x:c>
      <x:c r="F91" s="15" t="n">
        <x:f>'Run Data'!I199</x:f>
        <x:v>2</x:v>
      </x:c>
      <x:c r="G91" s="16" t="n">
        <x:f>'Run Data'!J199</x:f>
        <x:v>406.804399</x:v>
      </x:c>
      <x:c r="H91" s="26" t="str">
        <x:f>IF(F91&lt;D91,"Ablation better",IF(F91&gt;D91,"Full better",IF(G91&lt;E91-'Protocol'!$B$13,"Ablation better",IF(G91&gt;E91+'Protocol'!$B$13,"Full better","Tie"))))</x:f>
        <x:v>Full better</x:v>
      </x:c>
      <x:c r="I91" s="16" t="n">
        <x:f>IF(F91=D91,G91-E91,"")</x:f>
        <x:v>48.799621</x:v>
      </x:c>
      <x:c r="J91" s="16" t="n">
        <x:f>'Run Data'!K91</x:f>
        <x:v>174.530089</x:v>
      </x:c>
      <x:c r="K91" s="16" t="n">
        <x:f>'Run Data'!K199</x:f>
        <x:v>294.484132</x:v>
      </x:c>
    </x:row>
    <x:row r="92">
      <x:c r="A92" t="str">
        <x:v>No_SA</x:v>
      </x:c>
      <x:c r="B92" t="str">
        <x:v>rc105C5</x:v>
      </x:c>
      <x:c r="C92" s="15" t="n">
        <x:v>64</x:v>
      </x:c>
      <x:c r="D92" s="15" t="n">
        <x:f>'Run Data'!I92</x:f>
        <x:v>3</x:v>
      </x:c>
      <x:c r="E92" s="16" t="n">
        <x:f>'Run Data'!J92</x:f>
        <x:v>238.052232</x:v>
      </x:c>
      <x:c r="F92" s="15" t="n">
        <x:f>'Run Data'!I200</x:f>
        <x:v>3</x:v>
      </x:c>
      <x:c r="G92" s="16" t="n">
        <x:f>'Run Data'!J200</x:f>
        <x:v>238.052232</x:v>
      </x:c>
      <x:c r="H92" s="26" t="str">
        <x:f>IF(F92&lt;D92,"Ablation better",IF(F92&gt;D92,"Full better",IF(G92&lt;E92-'Protocol'!$B$13,"Ablation better",IF(G92&gt;E92+'Protocol'!$B$13,"Full better","Tie"))))</x:f>
        <x:v>Tie</x:v>
      </x:c>
      <x:c r="I92" s="16" t="n">
        <x:f>IF(F92=D92,G92-E92,"")</x:f>
        <x:v>0</x:v>
      </x:c>
      <x:c r="J92" s="16" t="n">
        <x:f>'Run Data'!K92</x:f>
        <x:v>1.200469</x:v>
      </x:c>
      <x:c r="K92" s="16" t="n">
        <x:f>'Run Data'!K200</x:f>
        <x:v>1.191823</x:v>
      </x:c>
    </x:row>
    <x:row r="93">
      <x:c r="A93" t="str">
        <x:v>No_SA</x:v>
      </x:c>
      <x:c r="B93" t="str">
        <x:v>rc105C5</x:v>
      </x:c>
      <x:c r="C93" s="15" t="n">
        <x:v>65</x:v>
      </x:c>
      <x:c r="D93" s="15" t="n">
        <x:f>'Run Data'!I93</x:f>
        <x:v>3</x:v>
      </x:c>
      <x:c r="E93" s="16" t="n">
        <x:f>'Run Data'!J93</x:f>
        <x:v>238.052232</x:v>
      </x:c>
      <x:c r="F93" s="15" t="n">
        <x:f>'Run Data'!I201</x:f>
        <x:v>3</x:v>
      </x:c>
      <x:c r="G93" s="16" t="n">
        <x:f>'Run Data'!J201</x:f>
        <x:v>238.052232</x:v>
      </x:c>
      <x:c r="H93" s="26" t="str">
        <x:f>IF(F93&lt;D93,"Ablation better",IF(F93&gt;D93,"Full better",IF(G93&lt;E93-'Protocol'!$B$13,"Ablation better",IF(G93&gt;E93+'Protocol'!$B$13,"Full better","Tie"))))</x:f>
        <x:v>Tie</x:v>
      </x:c>
      <x:c r="I93" s="16" t="n">
        <x:f>IF(F93=D93,G93-E93,"")</x:f>
        <x:v>0</x:v>
      </x:c>
      <x:c r="J93" s="16" t="n">
        <x:f>'Run Data'!K93</x:f>
        <x:v>1.169266</x:v>
      </x:c>
      <x:c r="K93" s="16" t="n">
        <x:f>'Run Data'!K201</x:f>
        <x:v>1.152268</x:v>
      </x:c>
    </x:row>
    <x:row r="94">
      <x:c r="A94" t="str">
        <x:v>No_SA</x:v>
      </x:c>
      <x:c r="B94" t="str">
        <x:v>rc105C5</x:v>
      </x:c>
      <x:c r="C94" s="15" t="n">
        <x:v>66</x:v>
      </x:c>
      <x:c r="D94" s="15" t="n">
        <x:f>'Run Data'!I94</x:f>
        <x:v>3</x:v>
      </x:c>
      <x:c r="E94" s="16" t="n">
        <x:f>'Run Data'!J94</x:f>
        <x:v>238.052232</x:v>
      </x:c>
      <x:c r="F94" s="15" t="n">
        <x:f>'Run Data'!I202</x:f>
        <x:v>3</x:v>
      </x:c>
      <x:c r="G94" s="16" t="n">
        <x:f>'Run Data'!J202</x:f>
        <x:v>238.052232</x:v>
      </x:c>
      <x:c r="H94" s="26" t="str">
        <x:f>IF(F94&lt;D94,"Ablation better",IF(F94&gt;D94,"Full better",IF(G94&lt;E94-'Protocol'!$B$13,"Ablation better",IF(G94&gt;E94+'Protocol'!$B$13,"Full better","Tie"))))</x:f>
        <x:v>Tie</x:v>
      </x:c>
      <x:c r="I94" s="16" t="n">
        <x:f>IF(F94=D94,G94-E94,"")</x:f>
        <x:v>0</x:v>
      </x:c>
      <x:c r="J94" s="16" t="n">
        <x:f>'Run Data'!K94</x:f>
        <x:v>1.200468</x:v>
      </x:c>
      <x:c r="K94" s="16" t="n">
        <x:f>'Run Data'!K202</x:f>
        <x:v>1.188469</x:v>
      </x:c>
    </x:row>
    <x:row r="95">
      <x:c r="A95" t="str">
        <x:v>No_SA</x:v>
      </x:c>
      <x:c r="B95" t="str">
        <x:v>rc102C10</x:v>
      </x:c>
      <x:c r="C95" s="15" t="n">
        <x:v>64</x:v>
      </x:c>
      <x:c r="D95" s="15" t="n">
        <x:f>'Run Data'!I95</x:f>
        <x:v>4</x:v>
      </x:c>
      <x:c r="E95" s="16" t="n">
        <x:f>'Run Data'!J95</x:f>
        <x:v>423.510182</x:v>
      </x:c>
      <x:c r="F95" s="15" t="n">
        <x:f>'Run Data'!I203</x:f>
        <x:v>4</x:v>
      </x:c>
      <x:c r="G95" s="16" t="n">
        <x:f>'Run Data'!J203</x:f>
        <x:v>423.510182</x:v>
      </x:c>
      <x:c r="H95" s="26" t="str">
        <x:f>IF(F95&lt;D95,"Ablation better",IF(F95&gt;D95,"Full better",IF(G95&lt;E95-'Protocol'!$B$13,"Ablation better",IF(G95&gt;E95+'Protocol'!$B$13,"Full better","Tie"))))</x:f>
        <x:v>Tie</x:v>
      </x:c>
      <x:c r="I95" s="16" t="n">
        <x:f>IF(F95=D95,G95-E95,"")</x:f>
        <x:v>0</x:v>
      </x:c>
      <x:c r="J95" s="16" t="n">
        <x:f>'Run Data'!K95</x:f>
        <x:v>9.157004</x:v>
      </x:c>
      <x:c r="K95" s="16" t="n">
        <x:f>'Run Data'!K203</x:f>
        <x:v>9.005111</x:v>
      </x:c>
    </x:row>
    <x:row r="96">
      <x:c r="A96" t="str">
        <x:v>No_SA</x:v>
      </x:c>
      <x:c r="B96" t="str">
        <x:v>rc102C10</x:v>
      </x:c>
      <x:c r="C96" s="15" t="n">
        <x:v>65</x:v>
      </x:c>
      <x:c r="D96" s="15" t="n">
        <x:f>'Run Data'!I96</x:f>
        <x:v>4</x:v>
      </x:c>
      <x:c r="E96" s="16" t="n">
        <x:f>'Run Data'!J96</x:f>
        <x:v>423.510182</x:v>
      </x:c>
      <x:c r="F96" s="15" t="n">
        <x:f>'Run Data'!I204</x:f>
        <x:v>4</x:v>
      </x:c>
      <x:c r="G96" s="16" t="n">
        <x:f>'Run Data'!J204</x:f>
        <x:v>423.510182</x:v>
      </x:c>
      <x:c r="H96" s="26" t="str">
        <x:f>IF(F96&lt;D96,"Ablation better",IF(F96&gt;D96,"Full better",IF(G96&lt;E96-'Protocol'!$B$13,"Ablation better",IF(G96&gt;E96+'Protocol'!$B$13,"Full better","Tie"))))</x:f>
        <x:v>Tie</x:v>
      </x:c>
      <x:c r="I96" s="16" t="n">
        <x:f>IF(F96=D96,G96-E96,"")</x:f>
        <x:v>0</x:v>
      </x:c>
      <x:c r="J96" s="16" t="n">
        <x:f>'Run Data'!K96</x:f>
        <x:v>8.805708</x:v>
      </x:c>
      <x:c r="K96" s="16" t="n">
        <x:f>'Run Data'!K204</x:f>
        <x:v>9.141859</x:v>
      </x:c>
    </x:row>
    <x:row r="97">
      <x:c r="A97" t="str">
        <x:v>No_SA</x:v>
      </x:c>
      <x:c r="B97" t="str">
        <x:v>rc102C10</x:v>
      </x:c>
      <x:c r="C97" s="15" t="n">
        <x:v>66</x:v>
      </x:c>
      <x:c r="D97" s="15" t="n">
        <x:f>'Run Data'!I97</x:f>
        <x:v>4</x:v>
      </x:c>
      <x:c r="E97" s="16" t="n">
        <x:f>'Run Data'!J97</x:f>
        <x:v>423.510182</x:v>
      </x:c>
      <x:c r="F97" s="15" t="n">
        <x:f>'Run Data'!I205</x:f>
        <x:v>4</x:v>
      </x:c>
      <x:c r="G97" s="16" t="n">
        <x:f>'Run Data'!J205</x:f>
        <x:v>423.510182</x:v>
      </x:c>
      <x:c r="H97" s="26" t="str">
        <x:f>IF(F97&lt;D97,"Ablation better",IF(F97&gt;D97,"Full better",IF(G97&lt;E97-'Protocol'!$B$13,"Ablation better",IF(G97&gt;E97+'Protocol'!$B$13,"Full better","Tie"))))</x:f>
        <x:v>Tie</x:v>
      </x:c>
      <x:c r="I97" s="16" t="n">
        <x:f>IF(F97=D97,G97-E97,"")</x:f>
        <x:v>0</x:v>
      </x:c>
      <x:c r="J97" s="16" t="n">
        <x:f>'Run Data'!K97</x:f>
        <x:v>9.372135</x:v>
      </x:c>
      <x:c r="K97" s="16" t="n">
        <x:f>'Run Data'!K205</x:f>
        <x:v>9.158422</x:v>
      </x:c>
    </x:row>
    <x:row r="98">
      <x:c r="A98" t="str">
        <x:v>No_SA</x:v>
      </x:c>
      <x:c r="B98" t="str">
        <x:v>rc103C15</x:v>
      </x:c>
      <x:c r="C98" s="15" t="n">
        <x:v>64</x:v>
      </x:c>
      <x:c r="D98" s="15" t="n">
        <x:f>'Run Data'!I98</x:f>
        <x:v>4</x:v>
      </x:c>
      <x:c r="E98" s="16" t="n">
        <x:f>'Run Data'!J98</x:f>
        <x:v>397.669857</x:v>
      </x:c>
      <x:c r="F98" s="15" t="n">
        <x:f>'Run Data'!I206</x:f>
        <x:v>4</x:v>
      </x:c>
      <x:c r="G98" s="16" t="n">
        <x:f>'Run Data'!J206</x:f>
        <x:v>397.669857</x:v>
      </x:c>
      <x:c r="H98" s="26" t="str">
        <x:f>IF(F98&lt;D98,"Ablation better",IF(F98&gt;D98,"Full better",IF(G98&lt;E98-'Protocol'!$B$13,"Ablation better",IF(G98&gt;E98+'Protocol'!$B$13,"Full better","Tie"))))</x:f>
        <x:v>Tie</x:v>
      </x:c>
      <x:c r="I98" s="16" t="n">
        <x:f>IF(F98=D98,G98-E98,"")</x:f>
        <x:v>0</x:v>
      </x:c>
      <x:c r="J98" s="16" t="n">
        <x:f>'Run Data'!K98</x:f>
        <x:v>48.269425</x:v>
      </x:c>
      <x:c r="K98" s="16" t="n">
        <x:f>'Run Data'!K206</x:f>
        <x:v>51.551325</x:v>
      </x:c>
    </x:row>
    <x:row r="99">
      <x:c r="A99" t="str">
        <x:v>No_SA</x:v>
      </x:c>
      <x:c r="B99" t="str">
        <x:v>rc103C15</x:v>
      </x:c>
      <x:c r="C99" s="15" t="n">
        <x:v>65</x:v>
      </x:c>
      <x:c r="D99" s="15" t="n">
        <x:f>'Run Data'!I99</x:f>
        <x:v>4</x:v>
      </x:c>
      <x:c r="E99" s="16" t="n">
        <x:f>'Run Data'!J99</x:f>
        <x:v>397.669857</x:v>
      </x:c>
      <x:c r="F99" s="15" t="n">
        <x:f>'Run Data'!I207</x:f>
        <x:v>4</x:v>
      </x:c>
      <x:c r="G99" s="16" t="n">
        <x:f>'Run Data'!J207</x:f>
        <x:v>397.669857</x:v>
      </x:c>
      <x:c r="H99" s="26" t="str">
        <x:f>IF(F99&lt;D99,"Ablation better",IF(F99&gt;D99,"Full better",IF(G99&lt;E99-'Protocol'!$B$13,"Ablation better",IF(G99&gt;E99+'Protocol'!$B$13,"Full better","Tie"))))</x:f>
        <x:v>Tie</x:v>
      </x:c>
      <x:c r="I99" s="16" t="n">
        <x:f>IF(F99=D99,G99-E99,"")</x:f>
        <x:v>0</x:v>
      </x:c>
      <x:c r="J99" s="16" t="n">
        <x:f>'Run Data'!K99</x:f>
        <x:v>52.741467</x:v>
      </x:c>
      <x:c r="K99" s="16" t="n">
        <x:f>'Run Data'!K207</x:f>
        <x:v>52.370431</x:v>
      </x:c>
    </x:row>
    <x:row r="100">
      <x:c r="A100" t="str">
        <x:v>No_SA</x:v>
      </x:c>
      <x:c r="B100" t="str">
        <x:v>rc103C15</x:v>
      </x:c>
      <x:c r="C100" s="15" t="n">
        <x:v>66</x:v>
      </x:c>
      <x:c r="D100" s="15" t="n">
        <x:f>'Run Data'!I100</x:f>
        <x:v>4</x:v>
      </x:c>
      <x:c r="E100" s="16" t="n">
        <x:f>'Run Data'!J100</x:f>
        <x:v>397.669857</x:v>
      </x:c>
      <x:c r="F100" s="15" t="n">
        <x:f>'Run Data'!I208</x:f>
        <x:v>4</x:v>
      </x:c>
      <x:c r="G100" s="16" t="n">
        <x:f>'Run Data'!J208</x:f>
        <x:v>397.669857</x:v>
      </x:c>
      <x:c r="H100" s="26" t="str">
        <x:f>IF(F100&lt;D100,"Ablation better",IF(F100&gt;D100,"Full better",IF(G100&lt;E100-'Protocol'!$B$13,"Ablation better",IF(G100&gt;E100+'Protocol'!$B$13,"Full better","Tie"))))</x:f>
        <x:v>Tie</x:v>
      </x:c>
      <x:c r="I100" s="16" t="n">
        <x:f>IF(F100=D100,G100-E100,"")</x:f>
        <x:v>0</x:v>
      </x:c>
      <x:c r="J100" s="16" t="n">
        <x:f>'Run Data'!K100</x:f>
        <x:v>55.397534</x:v>
      </x:c>
      <x:c r="K100" s="16" t="n">
        <x:f>'Run Data'!K208</x:f>
        <x:v>55.01931</x:v>
      </x:c>
    </x:row>
    <x:row r="101">
      <x:c r="A101" t="str">
        <x:v>No_SA</x:v>
      </x:c>
      <x:c r="B101" t="str">
        <x:v>rc204C5</x:v>
      </x:c>
      <x:c r="C101" s="15" t="n">
        <x:v>64</x:v>
      </x:c>
      <x:c r="D101" s="15" t="n">
        <x:f>'Run Data'!I101</x:f>
        <x:v>1</x:v>
      </x:c>
      <x:c r="E101" s="16" t="n">
        <x:f>'Run Data'!J101</x:f>
        <x:v>179.162472</x:v>
      </x:c>
      <x:c r="F101" s="15" t="n">
        <x:f>'Run Data'!I209</x:f>
        <x:v>1</x:v>
      </x:c>
      <x:c r="G101" s="16" t="n">
        <x:f>'Run Data'!J209</x:f>
        <x:v>179.162472</x:v>
      </x:c>
      <x:c r="H101" s="26" t="str">
        <x:f>IF(F101&lt;D101,"Ablation better",IF(F101&gt;D101,"Full better",IF(G101&lt;E101-'Protocol'!$B$13,"Ablation better",IF(G101&gt;E101+'Protocol'!$B$13,"Full better","Tie"))))</x:f>
        <x:v>Tie</x:v>
      </x:c>
      <x:c r="I101" s="16" t="n">
        <x:f>IF(F101=D101,G101-E101,"")</x:f>
        <x:v>0</x:v>
      </x:c>
      <x:c r="J101" s="16" t="n">
        <x:f>'Run Data'!K101</x:f>
        <x:v>3.448381</x:v>
      </x:c>
      <x:c r="K101" s="16" t="n">
        <x:f>'Run Data'!K209</x:f>
        <x:v>3.38973</x:v>
      </x:c>
    </x:row>
    <x:row r="102">
      <x:c r="A102" t="str">
        <x:v>No_SA</x:v>
      </x:c>
      <x:c r="B102" t="str">
        <x:v>rc204C5</x:v>
      </x:c>
      <x:c r="C102" s="15" t="n">
        <x:v>65</x:v>
      </x:c>
      <x:c r="D102" s="15" t="n">
        <x:f>'Run Data'!I102</x:f>
        <x:v>1</x:v>
      </x:c>
      <x:c r="E102" s="16" t="n">
        <x:f>'Run Data'!J102</x:f>
        <x:v>179.162472</x:v>
      </x:c>
      <x:c r="F102" s="15" t="n">
        <x:f>'Run Data'!I210</x:f>
        <x:v>1</x:v>
      </x:c>
      <x:c r="G102" s="16" t="n">
        <x:f>'Run Data'!J210</x:f>
        <x:v>179.162472</x:v>
      </x:c>
      <x:c r="H102" s="26" t="str">
        <x:f>IF(F102&lt;D102,"Ablation better",IF(F102&gt;D102,"Full better",IF(G102&lt;E102-'Protocol'!$B$13,"Ablation better",IF(G102&gt;E102+'Protocol'!$B$13,"Full better","Tie"))))</x:f>
        <x:v>Tie</x:v>
      </x:c>
      <x:c r="I102" s="16" t="n">
        <x:f>IF(F102=D102,G102-E102,"")</x:f>
        <x:v>0</x:v>
      </x:c>
      <x:c r="J102" s="16" t="n">
        <x:f>'Run Data'!K102</x:f>
        <x:v>3.629286</x:v>
      </x:c>
      <x:c r="K102" s="16" t="n">
        <x:f>'Run Data'!K210</x:f>
        <x:v>3.507805</x:v>
      </x:c>
    </x:row>
    <x:row r="103">
      <x:c r="A103" t="str">
        <x:v>No_SA</x:v>
      </x:c>
      <x:c r="B103" t="str">
        <x:v>rc204C5</x:v>
      </x:c>
      <x:c r="C103" s="15" t="n">
        <x:v>66</x:v>
      </x:c>
      <x:c r="D103" s="15" t="n">
        <x:f>'Run Data'!I103</x:f>
        <x:v>1</x:v>
      </x:c>
      <x:c r="E103" s="16" t="n">
        <x:f>'Run Data'!J103</x:f>
        <x:v>179.162472</x:v>
      </x:c>
      <x:c r="F103" s="15" t="n">
        <x:f>'Run Data'!I211</x:f>
        <x:v>1</x:v>
      </x:c>
      <x:c r="G103" s="16" t="n">
        <x:f>'Run Data'!J211</x:f>
        <x:v>179.162472</x:v>
      </x:c>
      <x:c r="H103" s="26" t="str">
        <x:f>IF(F103&lt;D103,"Ablation better",IF(F103&gt;D103,"Full better",IF(G103&lt;E103-'Protocol'!$B$13,"Ablation better",IF(G103&gt;E103+'Protocol'!$B$13,"Full better","Tie"))))</x:f>
        <x:v>Tie</x:v>
      </x:c>
      <x:c r="I103" s="16" t="n">
        <x:f>IF(F103=D103,G103-E103,"")</x:f>
        <x:v>0</x:v>
      </x:c>
      <x:c r="J103" s="16" t="n">
        <x:f>'Run Data'!K103</x:f>
        <x:v>3.565897</x:v>
      </x:c>
      <x:c r="K103" s="16" t="n">
        <x:f>'Run Data'!K211</x:f>
        <x:v>3.501856</x:v>
      </x:c>
    </x:row>
    <x:row r="104">
      <x:c r="A104" t="str">
        <x:v>No_SA</x:v>
      </x:c>
      <x:c r="B104" t="str">
        <x:v>rc201C10</x:v>
      </x:c>
      <x:c r="C104" s="15" t="n">
        <x:v>64</x:v>
      </x:c>
      <x:c r="D104" s="15" t="n">
        <x:f>'Run Data'!I104</x:f>
        <x:v>1</x:v>
      </x:c>
      <x:c r="E104" s="16" t="n">
        <x:f>'Run Data'!J104</x:f>
        <x:v>412.861395</x:v>
      </x:c>
      <x:c r="F104" s="15" t="n">
        <x:f>'Run Data'!I212</x:f>
        <x:v>1</x:v>
      </x:c>
      <x:c r="G104" s="16" t="n">
        <x:f>'Run Data'!J212</x:f>
        <x:v>412.861395</x:v>
      </x:c>
      <x:c r="H104" s="26" t="str">
        <x:f>IF(F104&lt;D104,"Ablation better",IF(F104&gt;D104,"Full better",IF(G104&lt;E104-'Protocol'!$B$13,"Ablation better",IF(G104&gt;E104+'Protocol'!$B$13,"Full better","Tie"))))</x:f>
        <x:v>Tie</x:v>
      </x:c>
      <x:c r="I104" s="16" t="n">
        <x:f>IF(F104=D104,G104-E104,"")</x:f>
        <x:v>0</x:v>
      </x:c>
      <x:c r="J104" s="16" t="n">
        <x:f>'Run Data'!K104</x:f>
        <x:v>24.297968</x:v>
      </x:c>
      <x:c r="K104" s="16" t="n">
        <x:f>'Run Data'!K212</x:f>
        <x:v>23.048727</x:v>
      </x:c>
    </x:row>
    <x:row r="105">
      <x:c r="A105" t="str">
        <x:v>No_SA</x:v>
      </x:c>
      <x:c r="B105" t="str">
        <x:v>rc201C10</x:v>
      </x:c>
      <x:c r="C105" s="15" t="n">
        <x:v>65</x:v>
      </x:c>
      <x:c r="D105" s="15" t="n">
        <x:f>'Run Data'!I105</x:f>
        <x:v>1</x:v>
      </x:c>
      <x:c r="E105" s="16" t="n">
        <x:f>'Run Data'!J105</x:f>
        <x:v>412.861395</x:v>
      </x:c>
      <x:c r="F105" s="15" t="n">
        <x:f>'Run Data'!I213</x:f>
        <x:v>1</x:v>
      </x:c>
      <x:c r="G105" s="16" t="n">
        <x:f>'Run Data'!J213</x:f>
        <x:v>412.861395</x:v>
      </x:c>
      <x:c r="H105" s="26" t="str">
        <x:f>IF(F105&lt;D105,"Ablation better",IF(F105&gt;D105,"Full better",IF(G105&lt;E105-'Protocol'!$B$13,"Ablation better",IF(G105&gt;E105+'Protocol'!$B$13,"Full better","Tie"))))</x:f>
        <x:v>Tie</x:v>
      </x:c>
      <x:c r="I105" s="16" t="n">
        <x:f>IF(F105=D105,G105-E105,"")</x:f>
        <x:v>0</x:v>
      </x:c>
      <x:c r="J105" s="16" t="n">
        <x:f>'Run Data'!K105</x:f>
        <x:v>25.454874</x:v>
      </x:c>
      <x:c r="K105" s="16" t="n">
        <x:f>'Run Data'!K213</x:f>
        <x:v>23.620489</x:v>
      </x:c>
    </x:row>
    <x:row r="106">
      <x:c r="A106" t="str">
        <x:v>No_SA</x:v>
      </x:c>
      <x:c r="B106" t="str">
        <x:v>rc201C10</x:v>
      </x:c>
      <x:c r="C106" s="15" t="n">
        <x:v>66</x:v>
      </x:c>
      <x:c r="D106" s="15" t="n">
        <x:f>'Run Data'!I106</x:f>
        <x:v>1</x:v>
      </x:c>
      <x:c r="E106" s="16" t="n">
        <x:f>'Run Data'!J106</x:f>
        <x:v>412.861395</x:v>
      </x:c>
      <x:c r="F106" s="15" t="n">
        <x:f>'Run Data'!I214</x:f>
        <x:v>1</x:v>
      </x:c>
      <x:c r="G106" s="16" t="n">
        <x:f>'Run Data'!J214</x:f>
        <x:v>412.861395</x:v>
      </x:c>
      <x:c r="H106" s="26" t="str">
        <x:f>IF(F106&lt;D106,"Ablation better",IF(F106&gt;D106,"Full better",IF(G106&lt;E106-'Protocol'!$B$13,"Ablation better",IF(G106&gt;E106+'Protocol'!$B$13,"Full better","Tie"))))</x:f>
        <x:v>Tie</x:v>
      </x:c>
      <x:c r="I106" s="16" t="n">
        <x:f>IF(F106=D106,G106-E106,"")</x:f>
        <x:v>0</x:v>
      </x:c>
      <x:c r="J106" s="16" t="n">
        <x:f>'Run Data'!K106</x:f>
        <x:v>24.453904</x:v>
      </x:c>
      <x:c r="K106" s="16" t="n">
        <x:f>'Run Data'!K214</x:f>
        <x:v>23.515254</x:v>
      </x:c>
    </x:row>
    <x:row r="107">
      <x:c r="A107" t="str">
        <x:v>No_SA</x:v>
      </x:c>
      <x:c r="B107" t="str">
        <x:v>rc202C15</x:v>
      </x:c>
      <x:c r="C107" s="15" t="n">
        <x:v>64</x:v>
      </x:c>
      <x:c r="D107" s="15" t="n">
        <x:f>'Run Data'!I107</x:f>
        <x:v>2</x:v>
      </x:c>
      <x:c r="E107" s="16" t="n">
        <x:f>'Run Data'!J107</x:f>
        <x:v>394.387139</x:v>
      </x:c>
      <x:c r="F107" s="15" t="n">
        <x:f>'Run Data'!I215</x:f>
        <x:v>2</x:v>
      </x:c>
      <x:c r="G107" s="16" t="n">
        <x:f>'Run Data'!J215</x:f>
        <x:v>458.254671</x:v>
      </x:c>
      <x:c r="H107" s="26" t="str">
        <x:f>IF(F107&lt;D107,"Ablation better",IF(F107&gt;D107,"Full better",IF(G107&lt;E107-'Protocol'!$B$13,"Ablation better",IF(G107&gt;E107+'Protocol'!$B$13,"Full better","Tie"))))</x:f>
        <x:v>Full better</x:v>
      </x:c>
      <x:c r="I107" s="16" t="n">
        <x:f>IF(F107=D107,G107-E107,"")</x:f>
        <x:v>63.86753199999998</x:v>
      </x:c>
      <x:c r="J107" s="16" t="n">
        <x:f>'Run Data'!K107</x:f>
        <x:v>145.443556</x:v>
      </x:c>
      <x:c r="K107" s="16" t="n">
        <x:f>'Run Data'!K215</x:f>
        <x:v>137.48152</x:v>
      </x:c>
    </x:row>
    <x:row r="108">
      <x:c r="A108" t="str">
        <x:v>No_SA</x:v>
      </x:c>
      <x:c r="B108" t="str">
        <x:v>rc202C15</x:v>
      </x:c>
      <x:c r="C108" s="15" t="n">
        <x:v>65</x:v>
      </x:c>
      <x:c r="D108" s="15" t="n">
        <x:f>'Run Data'!I108</x:f>
        <x:v>2</x:v>
      </x:c>
      <x:c r="E108" s="16" t="n">
        <x:f>'Run Data'!J108</x:f>
        <x:v>394.387139</x:v>
      </x:c>
      <x:c r="F108" s="15" t="n">
        <x:f>'Run Data'!I216</x:f>
        <x:v>2</x:v>
      </x:c>
      <x:c r="G108" s="16" t="n">
        <x:f>'Run Data'!J216</x:f>
        <x:v>458.254671</x:v>
      </x:c>
      <x:c r="H108" s="26" t="str">
        <x:f>IF(F108&lt;D108,"Ablation better",IF(F108&gt;D108,"Full better",IF(G108&lt;E108-'Protocol'!$B$13,"Ablation better",IF(G108&gt;E108+'Protocol'!$B$13,"Full better","Tie"))))</x:f>
        <x:v>Full better</x:v>
      </x:c>
      <x:c r="I108" s="16" t="n">
        <x:f>IF(F108=D108,G108-E108,"")</x:f>
        <x:v>63.86753199999998</x:v>
      </x:c>
      <x:c r="J108" s="16" t="n">
        <x:f>'Run Data'!K108</x:f>
        <x:v>143.618389</x:v>
      </x:c>
      <x:c r="K108" s="16" t="n">
        <x:f>'Run Data'!K216</x:f>
        <x:v>131.024131</x:v>
      </x:c>
    </x:row>
    <x:row r="109">
      <x:c r="A109" t="str">
        <x:v>No_SA</x:v>
      </x:c>
      <x:c r="B109" t="str">
        <x:v>rc202C15</x:v>
      </x:c>
      <x:c r="C109" s="15" t="n">
        <x:v>66</x:v>
      </x:c>
      <x:c r="D109" s="15" t="n">
        <x:f>'Run Data'!I109</x:f>
        <x:v>2</x:v>
      </x:c>
      <x:c r="E109" s="16" t="n">
        <x:f>'Run Data'!J109</x:f>
        <x:v>394.387139</x:v>
      </x:c>
      <x:c r="F109" s="15" t="n">
        <x:f>'Run Data'!I217</x:f>
        <x:v>2</x:v>
      </x:c>
      <x:c r="G109" s="16" t="n">
        <x:f>'Run Data'!J217</x:f>
        <x:v>394.387139</x:v>
      </x:c>
      <x:c r="H109" s="26" t="str">
        <x:f>IF(F109&lt;D109,"Ablation better",IF(F109&gt;D109,"Full better",IF(G109&lt;E109-'Protocol'!$B$13,"Ablation better",IF(G109&gt;E109+'Protocol'!$B$13,"Full better","Tie"))))</x:f>
        <x:v>Tie</x:v>
      </x:c>
      <x:c r="I109" s="16" t="n">
        <x:f>IF(F109=D109,G109-E109,"")</x:f>
        <x:v>0</x:v>
      </x:c>
      <x:c r="J109" s="16" t="n">
        <x:f>'Run Data'!K109</x:f>
        <x:v>135.728162</x:v>
      </x:c>
      <x:c r="K109" s="16" t="n">
        <x:f>'Run Data'!K217</x:f>
        <x:v>143.945949</x:v>
      </x:c>
    </x:row>
    <x:row r="110">
      <x:c r="A110" t="str">
        <x:v>No_Local_Search</x:v>
      </x:c>
      <x:c r="B110" t="str">
        <x:v>c101C5</x:v>
      </x:c>
      <x:c r="C110" s="15" t="n">
        <x:v>64</x:v>
      </x:c>
      <x:c r="D110" s="15" t="n">
        <x:f>'Run Data'!I56</x:f>
        <x:v>3</x:v>
      </x:c>
      <x:c r="E110" s="16" t="n">
        <x:f>'Run Data'!J56</x:f>
        <x:v>247.149706</x:v>
      </x:c>
      <x:c r="F110" s="15" t="n">
        <x:f>'Run Data'!I218</x:f>
        <x:v>3</x:v>
      </x:c>
      <x:c r="G110" s="16" t="n">
        <x:f>'Run Data'!J218</x:f>
        <x:v>247.149706</x:v>
      </x:c>
      <x:c r="H110" s="26" t="str">
        <x:f>IF(F110&lt;D110,"Ablation better",IF(F110&gt;D110,"Full better",IF(G110&lt;E110-'Protocol'!$B$13,"Ablation better",IF(G110&gt;E110+'Protocol'!$B$13,"Full better","Tie"))))</x:f>
        <x:v>Tie</x:v>
      </x:c>
      <x:c r="I110" s="16" t="n">
        <x:f>IF(F110=D110,G110-E110,"")</x:f>
        <x:v>0</x:v>
      </x:c>
      <x:c r="J110" s="16" t="n">
        <x:f>'Run Data'!K56</x:f>
        <x:v>1.139474</x:v>
      </x:c>
      <x:c r="K110" s="16" t="n">
        <x:f>'Run Data'!K218</x:f>
        <x:v>0.583168</x:v>
      </x:c>
    </x:row>
    <x:row r="111">
      <x:c r="A111" t="str">
        <x:v>No_Local_Search</x:v>
      </x:c>
      <x:c r="B111" t="str">
        <x:v>c101C5</x:v>
      </x:c>
      <x:c r="C111" s="15" t="n">
        <x:v>65</x:v>
      </x:c>
      <x:c r="D111" s="15" t="n">
        <x:f>'Run Data'!I57</x:f>
        <x:v>3</x:v>
      </x:c>
      <x:c r="E111" s="16" t="n">
        <x:f>'Run Data'!J57</x:f>
        <x:v>247.149706</x:v>
      </x:c>
      <x:c r="F111" s="15" t="n">
        <x:f>'Run Data'!I219</x:f>
        <x:v>3</x:v>
      </x:c>
      <x:c r="G111" s="16" t="n">
        <x:f>'Run Data'!J219</x:f>
        <x:v>247.149706</x:v>
      </x:c>
      <x:c r="H111" s="26" t="str">
        <x:f>IF(F111&lt;D111,"Ablation better",IF(F111&gt;D111,"Full better",IF(G111&lt;E111-'Protocol'!$B$13,"Ablation better",IF(G111&gt;E111+'Protocol'!$B$13,"Full better","Tie"))))</x:f>
        <x:v>Tie</x:v>
      </x:c>
      <x:c r="I111" s="16" t="n">
        <x:f>IF(F111=D111,G111-E111,"")</x:f>
        <x:v>0</x:v>
      </x:c>
      <x:c r="J111" s="16" t="n">
        <x:f>'Run Data'!K57</x:f>
        <x:v>1.16619</x:v>
      </x:c>
      <x:c r="K111" s="16" t="n">
        <x:f>'Run Data'!K219</x:f>
        <x:v>0.692985</x:v>
      </x:c>
    </x:row>
    <x:row r="112">
      <x:c r="A112" t="str">
        <x:v>No_Local_Search</x:v>
      </x:c>
      <x:c r="B112" t="str">
        <x:v>c101C5</x:v>
      </x:c>
      <x:c r="C112" s="15" t="n">
        <x:v>66</x:v>
      </x:c>
      <x:c r="D112" s="15" t="n">
        <x:f>'Run Data'!I58</x:f>
        <x:v>3</x:v>
      </x:c>
      <x:c r="E112" s="16" t="n">
        <x:f>'Run Data'!J58</x:f>
        <x:v>247.149706</x:v>
      </x:c>
      <x:c r="F112" s="15" t="n">
        <x:f>'Run Data'!I220</x:f>
        <x:v>3</x:v>
      </x:c>
      <x:c r="G112" s="16" t="n">
        <x:f>'Run Data'!J220</x:f>
        <x:v>247.149706</x:v>
      </x:c>
      <x:c r="H112" s="26" t="str">
        <x:f>IF(F112&lt;D112,"Ablation better",IF(F112&gt;D112,"Full better",IF(G112&lt;E112-'Protocol'!$B$13,"Ablation better",IF(G112&gt;E112+'Protocol'!$B$13,"Full better","Tie"))))</x:f>
        <x:v>Tie</x:v>
      </x:c>
      <x:c r="I112" s="16" t="n">
        <x:f>IF(F112=D112,G112-E112,"")</x:f>
        <x:v>0</x:v>
      </x:c>
      <x:c r="J112" s="16" t="n">
        <x:f>'Run Data'!K58</x:f>
        <x:v>1.183372</x:v>
      </x:c>
      <x:c r="K112" s="16" t="n">
        <x:f>'Run Data'!K220</x:f>
        <x:v>0.538637</x:v>
      </x:c>
    </x:row>
    <x:row r="113">
      <x:c r="A113" t="str">
        <x:v>No_Local_Search</x:v>
      </x:c>
      <x:c r="B113" t="str">
        <x:v>c101C10</x:v>
      </x:c>
      <x:c r="C113" s="15" t="n">
        <x:v>64</x:v>
      </x:c>
      <x:c r="D113" s="15" t="n">
        <x:f>'Run Data'!I59</x:f>
        <x:v>3</x:v>
      </x:c>
      <x:c r="E113" s="16" t="n">
        <x:f>'Run Data'!J59</x:f>
        <x:v>408.477828</x:v>
      </x:c>
      <x:c r="F113" s="15" t="n">
        <x:f>'Run Data'!I221</x:f>
        <x:v>3</x:v>
      </x:c>
      <x:c r="G113" s="16" t="n">
        <x:f>'Run Data'!J221</x:f>
        <x:v>408.477828</x:v>
      </x:c>
      <x:c r="H113" s="26" t="str">
        <x:f>IF(F113&lt;D113,"Ablation better",IF(F113&gt;D113,"Full better",IF(G113&lt;E113-'Protocol'!$B$13,"Ablation better",IF(G113&gt;E113+'Protocol'!$B$13,"Full better","Tie"))))</x:f>
        <x:v>Tie</x:v>
      </x:c>
      <x:c r="I113" s="16" t="n">
        <x:f>IF(F113=D113,G113-E113,"")</x:f>
        <x:v>0</x:v>
      </x:c>
      <x:c r="J113" s="16" t="n">
        <x:f>'Run Data'!K59</x:f>
        <x:v>21.797258</x:v>
      </x:c>
      <x:c r="K113" s="16" t="n">
        <x:f>'Run Data'!K221</x:f>
        <x:v>9.207973</x:v>
      </x:c>
    </x:row>
    <x:row r="114">
      <x:c r="A114" t="str">
        <x:v>No_Local_Search</x:v>
      </x:c>
      <x:c r="B114" t="str">
        <x:v>c101C10</x:v>
      </x:c>
      <x:c r="C114" s="15" t="n">
        <x:v>65</x:v>
      </x:c>
      <x:c r="D114" s="15" t="n">
        <x:f>'Run Data'!I60</x:f>
        <x:v>3</x:v>
      </x:c>
      <x:c r="E114" s="16" t="n">
        <x:f>'Run Data'!J60</x:f>
        <x:v>408.477828</x:v>
      </x:c>
      <x:c r="F114" s="15" t="n">
        <x:f>'Run Data'!I222</x:f>
        <x:v>3</x:v>
      </x:c>
      <x:c r="G114" s="16" t="n">
        <x:f>'Run Data'!J222</x:f>
        <x:v>408.477828</x:v>
      </x:c>
      <x:c r="H114" s="26" t="str">
        <x:f>IF(F114&lt;D114,"Ablation better",IF(F114&gt;D114,"Full better",IF(G114&lt;E114-'Protocol'!$B$13,"Ablation better",IF(G114&gt;E114+'Protocol'!$B$13,"Full better","Tie"))))</x:f>
        <x:v>Tie</x:v>
      </x:c>
      <x:c r="I114" s="16" t="n">
        <x:f>IF(F114=D114,G114-E114,"")</x:f>
        <x:v>0</x:v>
      </x:c>
      <x:c r="J114" s="16" t="n">
        <x:f>'Run Data'!K60</x:f>
        <x:v>22.588583</x:v>
      </x:c>
      <x:c r="K114" s="16" t="n">
        <x:f>'Run Data'!K222</x:f>
        <x:v>9.164041</x:v>
      </x:c>
    </x:row>
    <x:row r="115">
      <x:c r="A115" t="str">
        <x:v>No_Local_Search</x:v>
      </x:c>
      <x:c r="B115" t="str">
        <x:v>c101C10</x:v>
      </x:c>
      <x:c r="C115" s="15" t="n">
        <x:v>66</x:v>
      </x:c>
      <x:c r="D115" s="15" t="n">
        <x:f>'Run Data'!I61</x:f>
        <x:v>3</x:v>
      </x:c>
      <x:c r="E115" s="16" t="n">
        <x:f>'Run Data'!J61</x:f>
        <x:v>408.477828</x:v>
      </x:c>
      <x:c r="F115" s="15" t="n">
        <x:f>'Run Data'!I223</x:f>
        <x:v>3</x:v>
      </x:c>
      <x:c r="G115" s="16" t="n">
        <x:f>'Run Data'!J223</x:f>
        <x:v>408.477828</x:v>
      </x:c>
      <x:c r="H115" s="26" t="str">
        <x:f>IF(F115&lt;D115,"Ablation better",IF(F115&gt;D115,"Full better",IF(G115&lt;E115-'Protocol'!$B$13,"Ablation better",IF(G115&gt;E115+'Protocol'!$B$13,"Full better","Tie"))))</x:f>
        <x:v>Tie</x:v>
      </x:c>
      <x:c r="I115" s="16" t="n">
        <x:f>IF(F115=D115,G115-E115,"")</x:f>
        <x:v>0</x:v>
      </x:c>
      <x:c r="J115" s="16" t="n">
        <x:f>'Run Data'!K61</x:f>
        <x:v>22.858427</x:v>
      </x:c>
      <x:c r="K115" s="16" t="n">
        <x:f>'Run Data'!K223</x:f>
        <x:v>9.266305</x:v>
      </x:c>
    </x:row>
    <x:row r="116">
      <x:c r="A116" t="str">
        <x:v>No_Local_Search</x:v>
      </x:c>
      <x:c r="B116" t="str">
        <x:v>c103C15</x:v>
      </x:c>
      <x:c r="C116" s="15" t="n">
        <x:v>64</x:v>
      </x:c>
      <x:c r="D116" s="15" t="n">
        <x:f>'Run Data'!I62</x:f>
        <x:v>3</x:v>
      </x:c>
      <x:c r="E116" s="16" t="n">
        <x:f>'Run Data'!J62</x:f>
        <x:v>392.977769</x:v>
      </x:c>
      <x:c r="F116" s="15" t="n">
        <x:f>'Run Data'!I224</x:f>
        <x:v>3</x:v>
      </x:c>
      <x:c r="G116" s="16" t="n">
        <x:f>'Run Data'!J224</x:f>
        <x:v>392.977769</x:v>
      </x:c>
      <x:c r="H116" s="26" t="str">
        <x:f>IF(F116&lt;D116,"Ablation better",IF(F116&gt;D116,"Full better",IF(G116&lt;E116-'Protocol'!$B$13,"Ablation better",IF(G116&gt;E116+'Protocol'!$B$13,"Full better","Tie"))))</x:f>
        <x:v>Tie</x:v>
      </x:c>
      <x:c r="I116" s="16" t="n">
        <x:f>IF(F116=D116,G116-E116,"")</x:f>
        <x:v>0</x:v>
      </x:c>
      <x:c r="J116" s="16" t="n">
        <x:f>'Run Data'!K62</x:f>
        <x:v>79.235737</x:v>
      </x:c>
      <x:c r="K116" s="16" t="n">
        <x:f>'Run Data'!K224</x:f>
        <x:v>38.77875</x:v>
      </x:c>
    </x:row>
    <x:row r="117">
      <x:c r="A117" t="str">
        <x:v>No_Local_Search</x:v>
      </x:c>
      <x:c r="B117" t="str">
        <x:v>c103C15</x:v>
      </x:c>
      <x:c r="C117" s="15" t="n">
        <x:v>65</x:v>
      </x:c>
      <x:c r="D117" s="15" t="n">
        <x:f>'Run Data'!I63</x:f>
        <x:v>3</x:v>
      </x:c>
      <x:c r="E117" s="16" t="n">
        <x:f>'Run Data'!J63</x:f>
        <x:v>392.977769</x:v>
      </x:c>
      <x:c r="F117" s="15" t="n">
        <x:f>'Run Data'!I225</x:f>
        <x:v>3</x:v>
      </x:c>
      <x:c r="G117" s="16" t="n">
        <x:f>'Run Data'!J225</x:f>
        <x:v>392.977769</x:v>
      </x:c>
      <x:c r="H117" s="26" t="str">
        <x:f>IF(F117&lt;D117,"Ablation better",IF(F117&gt;D117,"Full better",IF(G117&lt;E117-'Protocol'!$B$13,"Ablation better",IF(G117&gt;E117+'Protocol'!$B$13,"Full better","Tie"))))</x:f>
        <x:v>Tie</x:v>
      </x:c>
      <x:c r="I117" s="16" t="n">
        <x:f>IF(F117=D117,G117-E117,"")</x:f>
        <x:v>0</x:v>
      </x:c>
      <x:c r="J117" s="16" t="n">
        <x:f>'Run Data'!K63</x:f>
        <x:v>75.180012</x:v>
      </x:c>
      <x:c r="K117" s="16" t="n">
        <x:f>'Run Data'!K225</x:f>
        <x:v>39.101462</x:v>
      </x:c>
    </x:row>
    <x:row r="118">
      <x:c r="A118" t="str">
        <x:v>No_Local_Search</x:v>
      </x:c>
      <x:c r="B118" t="str">
        <x:v>c103C15</x:v>
      </x:c>
      <x:c r="C118" s="15" t="n">
        <x:v>66</x:v>
      </x:c>
      <x:c r="D118" s="15" t="n">
        <x:f>'Run Data'!I64</x:f>
        <x:v>3</x:v>
      </x:c>
      <x:c r="E118" s="16" t="n">
        <x:f>'Run Data'!J64</x:f>
        <x:v>392.977769</x:v>
      </x:c>
      <x:c r="F118" s="15" t="n">
        <x:f>'Run Data'!I226</x:f>
        <x:v>3</x:v>
      </x:c>
      <x:c r="G118" s="16" t="n">
        <x:f>'Run Data'!J226</x:f>
        <x:v>392.977769</x:v>
      </x:c>
      <x:c r="H118" s="26" t="str">
        <x:f>IF(F118&lt;D118,"Ablation better",IF(F118&gt;D118,"Full better",IF(G118&lt;E118-'Protocol'!$B$13,"Ablation better",IF(G118&gt;E118+'Protocol'!$B$13,"Full better","Tie"))))</x:f>
        <x:v>Tie</x:v>
      </x:c>
      <x:c r="I118" s="16" t="n">
        <x:f>IF(F118=D118,G118-E118,"")</x:f>
        <x:v>0</x:v>
      </x:c>
      <x:c r="J118" s="16" t="n">
        <x:f>'Run Data'!K64</x:f>
        <x:v>82.559186</x:v>
      </x:c>
      <x:c r="K118" s="16" t="n">
        <x:f>'Run Data'!K226</x:f>
        <x:v>38.966008</x:v>
      </x:c>
    </x:row>
    <x:row r="119">
      <x:c r="A119" t="str">
        <x:v>No_Local_Search</x:v>
      </x:c>
      <x:c r="B119" t="str">
        <x:v>c206C5</x:v>
      </x:c>
      <x:c r="C119" s="15" t="n">
        <x:v>64</x:v>
      </x:c>
      <x:c r="D119" s="15" t="n">
        <x:f>'Run Data'!I65</x:f>
        <x:v>1</x:v>
      </x:c>
      <x:c r="E119" s="16" t="n">
        <x:f>'Run Data'!J65</x:f>
        <x:v>242.555652</x:v>
      </x:c>
      <x:c r="F119" s="15" t="n">
        <x:f>'Run Data'!I227</x:f>
        <x:v>1</x:v>
      </x:c>
      <x:c r="G119" s="16" t="n">
        <x:f>'Run Data'!J227</x:f>
        <x:v>242.555652</x:v>
      </x:c>
      <x:c r="H119" s="26" t="str">
        <x:f>IF(F119&lt;D119,"Ablation better",IF(F119&gt;D119,"Full better",IF(G119&lt;E119-'Protocol'!$B$13,"Ablation better",IF(G119&gt;E119+'Protocol'!$B$13,"Full better","Tie"))))</x:f>
        <x:v>Tie</x:v>
      </x:c>
      <x:c r="I119" s="16" t="n">
        <x:f>IF(F119=D119,G119-E119,"")</x:f>
        <x:v>0</x:v>
      </x:c>
      <x:c r="J119" s="16" t="n">
        <x:f>'Run Data'!K65</x:f>
        <x:v>2.150285</x:v>
      </x:c>
      <x:c r="K119" s="16" t="n">
        <x:f>'Run Data'!K227</x:f>
        <x:v>0.945145</x:v>
      </x:c>
    </x:row>
    <x:row r="120">
      <x:c r="A120" t="str">
        <x:v>No_Local_Search</x:v>
      </x:c>
      <x:c r="B120" t="str">
        <x:v>c206C5</x:v>
      </x:c>
      <x:c r="C120" s="15" t="n">
        <x:v>65</x:v>
      </x:c>
      <x:c r="D120" s="15" t="n">
        <x:f>'Run Data'!I66</x:f>
        <x:v>1</x:v>
      </x:c>
      <x:c r="E120" s="16" t="n">
        <x:f>'Run Data'!J66</x:f>
        <x:v>242.555652</x:v>
      </x:c>
      <x:c r="F120" s="15" t="n">
        <x:f>'Run Data'!I228</x:f>
        <x:v>1</x:v>
      </x:c>
      <x:c r="G120" s="16" t="n">
        <x:f>'Run Data'!J228</x:f>
        <x:v>242.555652</x:v>
      </x:c>
      <x:c r="H120" s="26" t="str">
        <x:f>IF(F120&lt;D120,"Ablation better",IF(F120&gt;D120,"Full better",IF(G120&lt;E120-'Protocol'!$B$13,"Ablation better",IF(G120&gt;E120+'Protocol'!$B$13,"Full better","Tie"))))</x:f>
        <x:v>Tie</x:v>
      </x:c>
      <x:c r="I120" s="16" t="n">
        <x:f>IF(F120=D120,G120-E120,"")</x:f>
        <x:v>0</x:v>
      </x:c>
      <x:c r="J120" s="16" t="n">
        <x:f>'Run Data'!K66</x:f>
        <x:v>2.347707</x:v>
      </x:c>
      <x:c r="K120" s="16" t="n">
        <x:f>'Run Data'!K228</x:f>
        <x:v>0.940894</x:v>
      </x:c>
    </x:row>
    <x:row r="121">
      <x:c r="A121" t="str">
        <x:v>No_Local_Search</x:v>
      </x:c>
      <x:c r="B121" t="str">
        <x:v>c206C5</x:v>
      </x:c>
      <x:c r="C121" s="15" t="n">
        <x:v>66</x:v>
      </x:c>
      <x:c r="D121" s="15" t="n">
        <x:f>'Run Data'!I67</x:f>
        <x:v>1</x:v>
      </x:c>
      <x:c r="E121" s="16" t="n">
        <x:f>'Run Data'!J67</x:f>
        <x:v>242.555652</x:v>
      </x:c>
      <x:c r="F121" s="15" t="n">
        <x:f>'Run Data'!I229</x:f>
        <x:v>1</x:v>
      </x:c>
      <x:c r="G121" s="16" t="n">
        <x:f>'Run Data'!J229</x:f>
        <x:v>242.555652</x:v>
      </x:c>
      <x:c r="H121" s="26" t="str">
        <x:f>IF(F121&lt;D121,"Ablation better",IF(F121&gt;D121,"Full better",IF(G121&lt;E121-'Protocol'!$B$13,"Ablation better",IF(G121&gt;E121+'Protocol'!$B$13,"Full better","Tie"))))</x:f>
        <x:v>Tie</x:v>
      </x:c>
      <x:c r="I121" s="16" t="n">
        <x:f>IF(F121=D121,G121-E121,"")</x:f>
        <x:v>0</x:v>
      </x:c>
      <x:c r="J121" s="16" t="n">
        <x:f>'Run Data'!K67</x:f>
        <x:v>2.233104</x:v>
      </x:c>
      <x:c r="K121" s="16" t="n">
        <x:f>'Run Data'!K229</x:f>
        <x:v>0.98835</x:v>
      </x:c>
    </x:row>
    <x:row r="122">
      <x:c r="A122" t="str">
        <x:v>No_Local_Search</x:v>
      </x:c>
      <x:c r="B122" t="str">
        <x:v>c202C10</x:v>
      </x:c>
      <x:c r="C122" s="15" t="n">
        <x:v>64</x:v>
      </x:c>
      <x:c r="D122" s="15" t="n">
        <x:f>'Run Data'!I68</x:f>
        <x:v>1</x:v>
      </x:c>
      <x:c r="E122" s="16" t="n">
        <x:f>'Run Data'!J68</x:f>
        <x:v>304.058332</x:v>
      </x:c>
      <x:c r="F122" s="15" t="n">
        <x:f>'Run Data'!I230</x:f>
        <x:v>1</x:v>
      </x:c>
      <x:c r="G122" s="16" t="n">
        <x:f>'Run Data'!J230</x:f>
        <x:v>304.058332</x:v>
      </x:c>
      <x:c r="H122" s="26" t="str">
        <x:f>IF(F122&lt;D122,"Ablation better",IF(F122&gt;D122,"Full better",IF(G122&lt;E122-'Protocol'!$B$13,"Ablation better",IF(G122&gt;E122+'Protocol'!$B$13,"Full better","Tie"))))</x:f>
        <x:v>Tie</x:v>
      </x:c>
      <x:c r="I122" s="16" t="n">
        <x:f>IF(F122=D122,G122-E122,"")</x:f>
        <x:v>0</x:v>
      </x:c>
      <x:c r="J122" s="16" t="n">
        <x:f>'Run Data'!K68</x:f>
        <x:v>28.549388</x:v>
      </x:c>
      <x:c r="K122" s="16" t="n">
        <x:f>'Run Data'!K230</x:f>
        <x:v>13.683189</x:v>
      </x:c>
    </x:row>
    <x:row r="123">
      <x:c r="A123" t="str">
        <x:v>No_Local_Search</x:v>
      </x:c>
      <x:c r="B123" t="str">
        <x:v>c202C10</x:v>
      </x:c>
      <x:c r="C123" s="15" t="n">
        <x:v>65</x:v>
      </x:c>
      <x:c r="D123" s="15" t="n">
        <x:f>'Run Data'!I69</x:f>
        <x:v>1</x:v>
      </x:c>
      <x:c r="E123" s="16" t="n">
        <x:f>'Run Data'!J69</x:f>
        <x:v>304.058332</x:v>
      </x:c>
      <x:c r="F123" s="15" t="n">
        <x:f>'Run Data'!I231</x:f>
        <x:v>1</x:v>
      </x:c>
      <x:c r="G123" s="16" t="n">
        <x:f>'Run Data'!J231</x:f>
        <x:v>304.058332</x:v>
      </x:c>
      <x:c r="H123" s="26" t="str">
        <x:f>IF(F123&lt;D123,"Ablation better",IF(F123&gt;D123,"Full better",IF(G123&lt;E123-'Protocol'!$B$13,"Ablation better",IF(G123&gt;E123+'Protocol'!$B$13,"Full better","Tie"))))</x:f>
        <x:v>Tie</x:v>
      </x:c>
      <x:c r="I123" s="16" t="n">
        <x:f>IF(F123=D123,G123-E123,"")</x:f>
        <x:v>0</x:v>
      </x:c>
      <x:c r="J123" s="16" t="n">
        <x:f>'Run Data'!K69</x:f>
        <x:v>28.410061</x:v>
      </x:c>
      <x:c r="K123" s="16" t="n">
        <x:f>'Run Data'!K231</x:f>
        <x:v>13.667801</x:v>
      </x:c>
    </x:row>
    <x:row r="124">
      <x:c r="A124" t="str">
        <x:v>No_Local_Search</x:v>
      </x:c>
      <x:c r="B124" t="str">
        <x:v>c202C10</x:v>
      </x:c>
      <x:c r="C124" s="15" t="n">
        <x:v>66</x:v>
      </x:c>
      <x:c r="D124" s="15" t="n">
        <x:f>'Run Data'!I70</x:f>
        <x:v>1</x:v>
      </x:c>
      <x:c r="E124" s="16" t="n">
        <x:f>'Run Data'!J70</x:f>
        <x:v>304.058332</x:v>
      </x:c>
      <x:c r="F124" s="15" t="n">
        <x:f>'Run Data'!I232</x:f>
        <x:v>1</x:v>
      </x:c>
      <x:c r="G124" s="16" t="n">
        <x:f>'Run Data'!J232</x:f>
        <x:v>304.058332</x:v>
      </x:c>
      <x:c r="H124" s="26" t="str">
        <x:f>IF(F124&lt;D124,"Ablation better",IF(F124&gt;D124,"Full better",IF(G124&lt;E124-'Protocol'!$B$13,"Ablation better",IF(G124&gt;E124+'Protocol'!$B$13,"Full better","Tie"))))</x:f>
        <x:v>Tie</x:v>
      </x:c>
      <x:c r="I124" s="16" t="n">
        <x:f>IF(F124=D124,G124-E124,"")</x:f>
        <x:v>0</x:v>
      </x:c>
      <x:c r="J124" s="16" t="n">
        <x:f>'Run Data'!K70</x:f>
        <x:v>29.022369</x:v>
      </x:c>
      <x:c r="K124" s="16" t="n">
        <x:f>'Run Data'!K232</x:f>
        <x:v>13.716127</x:v>
      </x:c>
    </x:row>
    <x:row r="125">
      <x:c r="A125" t="str">
        <x:v>No_Local_Search</x:v>
      </x:c>
      <x:c r="B125" t="str">
        <x:v>c202C15</x:v>
      </x:c>
      <x:c r="C125" s="15" t="n">
        <x:v>64</x:v>
      </x:c>
      <x:c r="D125" s="15" t="n">
        <x:f>'Run Data'!I71</x:f>
        <x:v>3</x:v>
      </x:c>
      <x:c r="E125" s="16" t="n">
        <x:f>'Run Data'!J71</x:f>
        <x:v>376.789292</x:v>
      </x:c>
      <x:c r="F125" s="15" t="n">
        <x:f>'Run Data'!I233</x:f>
        <x:v>3</x:v>
      </x:c>
      <x:c r="G125" s="16" t="n">
        <x:f>'Run Data'!J233</x:f>
        <x:v>376.789292</x:v>
      </x:c>
      <x:c r="H125" s="26" t="str">
        <x:f>IF(F125&lt;D125,"Ablation better",IF(F125&gt;D125,"Full better",IF(G125&lt;E125-'Protocol'!$B$13,"Ablation better",IF(G125&gt;E125+'Protocol'!$B$13,"Full better","Tie"))))</x:f>
        <x:v>Tie</x:v>
      </x:c>
      <x:c r="I125" s="16" t="n">
        <x:f>IF(F125=D125,G125-E125,"")</x:f>
        <x:v>0</x:v>
      </x:c>
      <x:c r="J125" s="16" t="n">
        <x:f>'Run Data'!K71</x:f>
        <x:v>91.744132</x:v>
      </x:c>
      <x:c r="K125" s="16" t="n">
        <x:f>'Run Data'!K233</x:f>
        <x:v>53.956699</x:v>
      </x:c>
    </x:row>
    <x:row r="126">
      <x:c r="A126" t="str">
        <x:v>No_Local_Search</x:v>
      </x:c>
      <x:c r="B126" t="str">
        <x:v>c202C15</x:v>
      </x:c>
      <x:c r="C126" s="15" t="n">
        <x:v>65</x:v>
      </x:c>
      <x:c r="D126" s="15" t="n">
        <x:f>'Run Data'!I72</x:f>
        <x:v>3</x:v>
      </x:c>
      <x:c r="E126" s="16" t="n">
        <x:f>'Run Data'!J72</x:f>
        <x:v>376.789292</x:v>
      </x:c>
      <x:c r="F126" s="15" t="n">
        <x:f>'Run Data'!I234</x:f>
        <x:v>3</x:v>
      </x:c>
      <x:c r="G126" s="16" t="n">
        <x:f>'Run Data'!J234</x:f>
        <x:v>376.789292</x:v>
      </x:c>
      <x:c r="H126" s="26" t="str">
        <x:f>IF(F126&lt;D126,"Ablation better",IF(F126&gt;D126,"Full better",IF(G126&lt;E126-'Protocol'!$B$13,"Ablation better",IF(G126&gt;E126+'Protocol'!$B$13,"Full better","Tie"))))</x:f>
        <x:v>Tie</x:v>
      </x:c>
      <x:c r="I126" s="16" t="n">
        <x:f>IF(F126=D126,G126-E126,"")</x:f>
        <x:v>0</x:v>
      </x:c>
      <x:c r="J126" s="16" t="n">
        <x:f>'Run Data'!K72</x:f>
        <x:v>92.466362</x:v>
      </x:c>
      <x:c r="K126" s="16" t="n">
        <x:f>'Run Data'!K234</x:f>
        <x:v>53.585541</x:v>
      </x:c>
    </x:row>
    <x:row r="127">
      <x:c r="A127" t="str">
        <x:v>No_Local_Search</x:v>
      </x:c>
      <x:c r="B127" t="str">
        <x:v>c202C15</x:v>
      </x:c>
      <x:c r="C127" s="15" t="n">
        <x:v>66</x:v>
      </x:c>
      <x:c r="D127" s="15" t="n">
        <x:f>'Run Data'!I73</x:f>
        <x:v>3</x:v>
      </x:c>
      <x:c r="E127" s="16" t="n">
        <x:f>'Run Data'!J73</x:f>
        <x:v>376.789292</x:v>
      </x:c>
      <x:c r="F127" s="15" t="n">
        <x:f>'Run Data'!I235</x:f>
        <x:v>3</x:v>
      </x:c>
      <x:c r="G127" s="16" t="n">
        <x:f>'Run Data'!J235</x:f>
        <x:v>376.789292</x:v>
      </x:c>
      <x:c r="H127" s="26" t="str">
        <x:f>IF(F127&lt;D127,"Ablation better",IF(F127&gt;D127,"Full better",IF(G127&lt;E127-'Protocol'!$B$13,"Ablation better",IF(G127&gt;E127+'Protocol'!$B$13,"Full better","Tie"))))</x:f>
        <x:v>Tie</x:v>
      </x:c>
      <x:c r="I127" s="16" t="n">
        <x:f>IF(F127=D127,G127-E127,"")</x:f>
        <x:v>0</x:v>
      </x:c>
      <x:c r="J127" s="16" t="n">
        <x:f>'Run Data'!K73</x:f>
        <x:v>93.889028</x:v>
      </x:c>
      <x:c r="K127" s="16" t="n">
        <x:f>'Run Data'!K235</x:f>
        <x:v>53.468632</x:v>
      </x:c>
    </x:row>
    <x:row r="128">
      <x:c r="A128" t="str">
        <x:v>No_Local_Search</x:v>
      </x:c>
      <x:c r="B128" t="str">
        <x:v>r105C5</x:v>
      </x:c>
      <x:c r="C128" s="15" t="n">
        <x:v>64</x:v>
      </x:c>
      <x:c r="D128" s="15" t="n">
        <x:f>'Run Data'!I74</x:f>
        <x:v>2</x:v>
      </x:c>
      <x:c r="E128" s="16" t="n">
        <x:f>'Run Data'!J74</x:f>
        <x:v>156.082069</x:v>
      </x:c>
      <x:c r="F128" s="15" t="n">
        <x:f>'Run Data'!I236</x:f>
        <x:v>2</x:v>
      </x:c>
      <x:c r="G128" s="16" t="n">
        <x:f>'Run Data'!J236</x:f>
        <x:v>156.082069</x:v>
      </x:c>
      <x:c r="H128" s="26" t="str">
        <x:f>IF(F128&lt;D128,"Ablation better",IF(F128&gt;D128,"Full better",IF(G128&lt;E128-'Protocol'!$B$13,"Ablation better",IF(G128&gt;E128+'Protocol'!$B$13,"Full better","Tie"))))</x:f>
        <x:v>Tie</x:v>
      </x:c>
      <x:c r="I128" s="16" t="n">
        <x:f>IF(F128=D128,G128-E128,"")</x:f>
        <x:v>0</x:v>
      </x:c>
      <x:c r="J128" s="16" t="n">
        <x:f>'Run Data'!K74</x:f>
        <x:v>0.847096</x:v>
      </x:c>
      <x:c r="K128" s="16" t="n">
        <x:f>'Run Data'!K236</x:f>
        <x:v>0.459348</x:v>
      </x:c>
    </x:row>
    <x:row r="129">
      <x:c r="A129" t="str">
        <x:v>No_Local_Search</x:v>
      </x:c>
      <x:c r="B129" t="str">
        <x:v>r105C5</x:v>
      </x:c>
      <x:c r="C129" s="15" t="n">
        <x:v>65</x:v>
      </x:c>
      <x:c r="D129" s="15" t="n">
        <x:f>'Run Data'!I75</x:f>
        <x:v>2</x:v>
      </x:c>
      <x:c r="E129" s="16" t="n">
        <x:f>'Run Data'!J75</x:f>
        <x:v>156.082069</x:v>
      </x:c>
      <x:c r="F129" s="15" t="n">
        <x:f>'Run Data'!I237</x:f>
        <x:v>2</x:v>
      </x:c>
      <x:c r="G129" s="16" t="n">
        <x:f>'Run Data'!J237</x:f>
        <x:v>156.082069</x:v>
      </x:c>
      <x:c r="H129" s="26" t="str">
        <x:f>IF(F129&lt;D129,"Ablation better",IF(F129&gt;D129,"Full better",IF(G129&lt;E129-'Protocol'!$B$13,"Ablation better",IF(G129&gt;E129+'Protocol'!$B$13,"Full better","Tie"))))</x:f>
        <x:v>Tie</x:v>
      </x:c>
      <x:c r="I129" s="16" t="n">
        <x:f>IF(F129=D129,G129-E129,"")</x:f>
        <x:v>0</x:v>
      </x:c>
      <x:c r="J129" s="16" t="n">
        <x:f>'Run Data'!K75</x:f>
        <x:v>0.89902</x:v>
      </x:c>
      <x:c r="K129" s="16" t="n">
        <x:f>'Run Data'!K237</x:f>
        <x:v>0.463183</x:v>
      </x:c>
    </x:row>
    <x:row r="130">
      <x:c r="A130" t="str">
        <x:v>No_Local_Search</x:v>
      </x:c>
      <x:c r="B130" t="str">
        <x:v>r105C5</x:v>
      </x:c>
      <x:c r="C130" s="15" t="n">
        <x:v>66</x:v>
      </x:c>
      <x:c r="D130" s="15" t="n">
        <x:f>'Run Data'!I76</x:f>
        <x:v>2</x:v>
      </x:c>
      <x:c r="E130" s="16" t="n">
        <x:f>'Run Data'!J76</x:f>
        <x:v>156.082069</x:v>
      </x:c>
      <x:c r="F130" s="15" t="n">
        <x:f>'Run Data'!I238</x:f>
        <x:v>2</x:v>
      </x:c>
      <x:c r="G130" s="16" t="n">
        <x:f>'Run Data'!J238</x:f>
        <x:v>156.082069</x:v>
      </x:c>
      <x:c r="H130" s="26" t="str">
        <x:f>IF(F130&lt;D130,"Ablation better",IF(F130&gt;D130,"Full better",IF(G130&lt;E130-'Protocol'!$B$13,"Ablation better",IF(G130&gt;E130+'Protocol'!$B$13,"Full better","Tie"))))</x:f>
        <x:v>Tie</x:v>
      </x:c>
      <x:c r="I130" s="16" t="n">
        <x:f>IF(F130=D130,G130-E130,"")</x:f>
        <x:v>0</x:v>
      </x:c>
      <x:c r="J130" s="16" t="n">
        <x:f>'Run Data'!K76</x:f>
        <x:v>0.921714</x:v>
      </x:c>
      <x:c r="K130" s="16" t="n">
        <x:f>'Run Data'!K238</x:f>
        <x:v>0.514813</x:v>
      </x:c>
    </x:row>
    <x:row r="131">
      <x:c r="A131" t="str">
        <x:v>No_Local_Search</x:v>
      </x:c>
      <x:c r="B131" t="str">
        <x:v>r103C10</x:v>
      </x:c>
      <x:c r="C131" s="15" t="n">
        <x:v>64</x:v>
      </x:c>
      <x:c r="D131" s="15" t="n">
        <x:f>'Run Data'!I77</x:f>
        <x:v>2</x:v>
      </x:c>
      <x:c r="E131" s="16" t="n">
        <x:f>'Run Data'!J77</x:f>
        <x:v>207.051154</x:v>
      </x:c>
      <x:c r="F131" s="15" t="n">
        <x:f>'Run Data'!I239</x:f>
        <x:v>2</x:v>
      </x:c>
      <x:c r="G131" s="16" t="n">
        <x:f>'Run Data'!J239</x:f>
        <x:v>207.051154</x:v>
      </x:c>
      <x:c r="H131" s="26" t="str">
        <x:f>IF(F131&lt;D131,"Ablation better",IF(F131&gt;D131,"Full better",IF(G131&lt;E131-'Protocol'!$B$13,"Ablation better",IF(G131&gt;E131+'Protocol'!$B$13,"Full better","Tie"))))</x:f>
        <x:v>Tie</x:v>
      </x:c>
      <x:c r="I131" s="16" t="n">
        <x:f>IF(F131=D131,G131-E131,"")</x:f>
        <x:v>0</x:v>
      </x:c>
      <x:c r="J131" s="16" t="n">
        <x:f>'Run Data'!K77</x:f>
        <x:v>13.315872</x:v>
      </x:c>
      <x:c r="K131" s="16" t="n">
        <x:f>'Run Data'!K239</x:f>
        <x:v>6.091741</x:v>
      </x:c>
    </x:row>
    <x:row r="132">
      <x:c r="A132" t="str">
        <x:v>No_Local_Search</x:v>
      </x:c>
      <x:c r="B132" t="str">
        <x:v>r103C10</x:v>
      </x:c>
      <x:c r="C132" s="15" t="n">
        <x:v>65</x:v>
      </x:c>
      <x:c r="D132" s="15" t="n">
        <x:f>'Run Data'!I78</x:f>
        <x:v>2</x:v>
      </x:c>
      <x:c r="E132" s="16" t="n">
        <x:f>'Run Data'!J78</x:f>
        <x:v>207.051154</x:v>
      </x:c>
      <x:c r="F132" s="15" t="n">
        <x:f>'Run Data'!I240</x:f>
        <x:v>2</x:v>
      </x:c>
      <x:c r="G132" s="16" t="n">
        <x:f>'Run Data'!J240</x:f>
        <x:v>207.051154</x:v>
      </x:c>
      <x:c r="H132" s="26" t="str">
        <x:f>IF(F132&lt;D132,"Ablation better",IF(F132&gt;D132,"Full better",IF(G132&lt;E132-'Protocol'!$B$13,"Ablation better",IF(G132&gt;E132+'Protocol'!$B$13,"Full better","Tie"))))</x:f>
        <x:v>Tie</x:v>
      </x:c>
      <x:c r="I132" s="16" t="n">
        <x:f>IF(F132=D132,G132-E132,"")</x:f>
        <x:v>0</x:v>
      </x:c>
      <x:c r="J132" s="16" t="n">
        <x:f>'Run Data'!K78</x:f>
        <x:v>11.950364</x:v>
      </x:c>
      <x:c r="K132" s="16" t="n">
        <x:f>'Run Data'!K240</x:f>
        <x:v>5.983446</x:v>
      </x:c>
    </x:row>
    <x:row r="133">
      <x:c r="A133" t="str">
        <x:v>No_Local_Search</x:v>
      </x:c>
      <x:c r="B133" t="str">
        <x:v>r103C10</x:v>
      </x:c>
      <x:c r="C133" s="15" t="n">
        <x:v>66</x:v>
      </x:c>
      <x:c r="D133" s="15" t="n">
        <x:f>'Run Data'!I79</x:f>
        <x:v>2</x:v>
      </x:c>
      <x:c r="E133" s="16" t="n">
        <x:f>'Run Data'!J79</x:f>
        <x:v>207.051154</x:v>
      </x:c>
      <x:c r="F133" s="15" t="n">
        <x:f>'Run Data'!I241</x:f>
        <x:v>2</x:v>
      </x:c>
      <x:c r="G133" s="16" t="n">
        <x:f>'Run Data'!J241</x:f>
        <x:v>207.051154</x:v>
      </x:c>
      <x:c r="H133" s="26" t="str">
        <x:f>IF(F133&lt;D133,"Ablation better",IF(F133&gt;D133,"Full better",IF(G133&lt;E133-'Protocol'!$B$13,"Ablation better",IF(G133&gt;E133+'Protocol'!$B$13,"Full better","Tie"))))</x:f>
        <x:v>Tie</x:v>
      </x:c>
      <x:c r="I133" s="16" t="n">
        <x:f>IF(F133=D133,G133-E133,"")</x:f>
        <x:v>0</x:v>
      </x:c>
      <x:c r="J133" s="16" t="n">
        <x:f>'Run Data'!K79</x:f>
        <x:v>13.25145</x:v>
      </x:c>
      <x:c r="K133" s="16" t="n">
        <x:f>'Run Data'!K241</x:f>
        <x:v>6.062428</x:v>
      </x:c>
    </x:row>
    <x:row r="134">
      <x:c r="A134" t="str">
        <x:v>No_Local_Search</x:v>
      </x:c>
      <x:c r="B134" t="str">
        <x:v>r105C15</x:v>
      </x:c>
      <x:c r="C134" s="15" t="n">
        <x:v>64</x:v>
      </x:c>
      <x:c r="D134" s="15" t="n">
        <x:f>'Run Data'!I80</x:f>
        <x:v>4</x:v>
      </x:c>
      <x:c r="E134" s="16" t="n">
        <x:f>'Run Data'!J80</x:f>
        <x:v>336.153602</x:v>
      </x:c>
      <x:c r="F134" s="15" t="n">
        <x:f>'Run Data'!I242</x:f>
        <x:v>4</x:v>
      </x:c>
      <x:c r="G134" s="16" t="n">
        <x:f>'Run Data'!J242</x:f>
        <x:v>336.153602</x:v>
      </x:c>
      <x:c r="H134" s="26" t="str">
        <x:f>IF(F134&lt;D134,"Ablation better",IF(F134&gt;D134,"Full better",IF(G134&lt;E134-'Protocol'!$B$13,"Ablation better",IF(G134&gt;E134+'Protocol'!$B$13,"Full better","Tie"))))</x:f>
        <x:v>Tie</x:v>
      </x:c>
      <x:c r="I134" s="16" t="n">
        <x:f>IF(F134=D134,G134-E134,"")</x:f>
        <x:v>0</x:v>
      </x:c>
      <x:c r="J134" s="16" t="n">
        <x:f>'Run Data'!K80</x:f>
        <x:v>59.317793</x:v>
      </x:c>
      <x:c r="K134" s="16" t="n">
        <x:f>'Run Data'!K242</x:f>
        <x:v>30.900968</x:v>
      </x:c>
    </x:row>
    <x:row r="135">
      <x:c r="A135" t="str">
        <x:v>No_Local_Search</x:v>
      </x:c>
      <x:c r="B135" t="str">
        <x:v>r105C15</x:v>
      </x:c>
      <x:c r="C135" s="15" t="n">
        <x:v>65</x:v>
      </x:c>
      <x:c r="D135" s="15" t="n">
        <x:f>'Run Data'!I81</x:f>
        <x:v>4</x:v>
      </x:c>
      <x:c r="E135" s="16" t="n">
        <x:f>'Run Data'!J81</x:f>
        <x:v>336.153602</x:v>
      </x:c>
      <x:c r="F135" s="15" t="n">
        <x:f>'Run Data'!I243</x:f>
        <x:v>4</x:v>
      </x:c>
      <x:c r="G135" s="16" t="n">
        <x:f>'Run Data'!J243</x:f>
        <x:v>356.115491</x:v>
      </x:c>
      <x:c r="H135" s="26" t="str">
        <x:f>IF(F135&lt;D135,"Ablation better",IF(F135&gt;D135,"Full better",IF(G135&lt;E135-'Protocol'!$B$13,"Ablation better",IF(G135&gt;E135+'Protocol'!$B$13,"Full better","Tie"))))</x:f>
        <x:v>Full better</x:v>
      </x:c>
      <x:c r="I135" s="16" t="n">
        <x:f>IF(F135=D135,G135-E135,"")</x:f>
        <x:v>19.961889000000042</x:v>
      </x:c>
      <x:c r="J135" s="16" t="n">
        <x:f>'Run Data'!K81</x:f>
        <x:v>51.050495</x:v>
      </x:c>
      <x:c r="K135" s="16" t="n">
        <x:f>'Run Data'!K243</x:f>
        <x:v>33.133736</x:v>
      </x:c>
    </x:row>
    <x:row r="136">
      <x:c r="A136" t="str">
        <x:v>No_Local_Search</x:v>
      </x:c>
      <x:c r="B136" t="str">
        <x:v>r105C15</x:v>
      </x:c>
      <x:c r="C136" s="15" t="n">
        <x:v>66</x:v>
      </x:c>
      <x:c r="D136" s="15" t="n">
        <x:f>'Run Data'!I82</x:f>
        <x:v>4</x:v>
      </x:c>
      <x:c r="E136" s="16" t="n">
        <x:f>'Run Data'!J82</x:f>
        <x:v>336.153602</x:v>
      </x:c>
      <x:c r="F136" s="15" t="n">
        <x:f>'Run Data'!I244</x:f>
        <x:v>4</x:v>
      </x:c>
      <x:c r="G136" s="16" t="n">
        <x:f>'Run Data'!J244</x:f>
        <x:v>336.153602</x:v>
      </x:c>
      <x:c r="H136" s="26" t="str">
        <x:f>IF(F136&lt;D136,"Ablation better",IF(F136&gt;D136,"Full better",IF(G136&lt;E136-'Protocol'!$B$13,"Ablation better",IF(G136&gt;E136+'Protocol'!$B$13,"Full better","Tie"))))</x:f>
        <x:v>Tie</x:v>
      </x:c>
      <x:c r="I136" s="16" t="n">
        <x:f>IF(F136=D136,G136-E136,"")</x:f>
        <x:v>0</x:v>
      </x:c>
      <x:c r="J136" s="16" t="n">
        <x:f>'Run Data'!K82</x:f>
        <x:v>60.642805</x:v>
      </x:c>
      <x:c r="K136" s="16" t="n">
        <x:f>'Run Data'!K244</x:f>
        <x:v>28.979141</x:v>
      </x:c>
    </x:row>
    <x:row r="137">
      <x:c r="A137" t="str">
        <x:v>No_Local_Search</x:v>
      </x:c>
      <x:c r="B137" t="str">
        <x:v>r202C5</x:v>
      </x:c>
      <x:c r="C137" s="15" t="n">
        <x:v>64</x:v>
      </x:c>
      <x:c r="D137" s="15" t="n">
        <x:f>'Run Data'!I83</x:f>
        <x:v>1</x:v>
      </x:c>
      <x:c r="E137" s="16" t="n">
        <x:f>'Run Data'!J83</x:f>
        <x:v>128.777139</x:v>
      </x:c>
      <x:c r="F137" s="15" t="n">
        <x:f>'Run Data'!I245</x:f>
        <x:v>1</x:v>
      </x:c>
      <x:c r="G137" s="16" t="n">
        <x:f>'Run Data'!J245</x:f>
        <x:v>128.777139</x:v>
      </x:c>
      <x:c r="H137" s="26" t="str">
        <x:f>IF(F137&lt;D137,"Ablation better",IF(F137&gt;D137,"Full better",IF(G137&lt;E137-'Protocol'!$B$13,"Ablation better",IF(G137&gt;E137+'Protocol'!$B$13,"Full better","Tie"))))</x:f>
        <x:v>Tie</x:v>
      </x:c>
      <x:c r="I137" s="16" t="n">
        <x:f>IF(F137=D137,G137-E137,"")</x:f>
        <x:v>0</x:v>
      </x:c>
      <x:c r="J137" s="16" t="n">
        <x:f>'Run Data'!K83</x:f>
        <x:v>2.762394</x:v>
      </x:c>
      <x:c r="K137" s="16" t="n">
        <x:f>'Run Data'!K245</x:f>
        <x:v>1.136305</x:v>
      </x:c>
    </x:row>
    <x:row r="138">
      <x:c r="A138" t="str">
        <x:v>No_Local_Search</x:v>
      </x:c>
      <x:c r="B138" t="str">
        <x:v>r202C5</x:v>
      </x:c>
      <x:c r="C138" s="15" t="n">
        <x:v>65</x:v>
      </x:c>
      <x:c r="D138" s="15" t="n">
        <x:f>'Run Data'!I84</x:f>
        <x:v>1</x:v>
      </x:c>
      <x:c r="E138" s="16" t="n">
        <x:f>'Run Data'!J84</x:f>
        <x:v>128.777139</x:v>
      </x:c>
      <x:c r="F138" s="15" t="n">
        <x:f>'Run Data'!I246</x:f>
        <x:v>1</x:v>
      </x:c>
      <x:c r="G138" s="16" t="n">
        <x:f>'Run Data'!J246</x:f>
        <x:v>128.777139</x:v>
      </x:c>
      <x:c r="H138" s="26" t="str">
        <x:f>IF(F138&lt;D138,"Ablation better",IF(F138&gt;D138,"Full better",IF(G138&lt;E138-'Protocol'!$B$13,"Ablation better",IF(G138&gt;E138+'Protocol'!$B$13,"Full better","Tie"))))</x:f>
        <x:v>Tie</x:v>
      </x:c>
      <x:c r="I138" s="16" t="n">
        <x:f>IF(F138=D138,G138-E138,"")</x:f>
        <x:v>0</x:v>
      </x:c>
      <x:c r="J138" s="16" t="n">
        <x:f>'Run Data'!K84</x:f>
        <x:v>2.834729</x:v>
      </x:c>
      <x:c r="K138" s="16" t="n">
        <x:f>'Run Data'!K246</x:f>
        <x:v>1.129535</x:v>
      </x:c>
    </x:row>
    <x:row r="139">
      <x:c r="A139" t="str">
        <x:v>No_Local_Search</x:v>
      </x:c>
      <x:c r="B139" t="str">
        <x:v>r202C5</x:v>
      </x:c>
      <x:c r="C139" s="15" t="n">
        <x:v>66</x:v>
      </x:c>
      <x:c r="D139" s="15" t="n">
        <x:f>'Run Data'!I85</x:f>
        <x:v>1</x:v>
      </x:c>
      <x:c r="E139" s="16" t="n">
        <x:f>'Run Data'!J85</x:f>
        <x:v>128.777139</x:v>
      </x:c>
      <x:c r="F139" s="15" t="n">
        <x:f>'Run Data'!I247</x:f>
        <x:v>1</x:v>
      </x:c>
      <x:c r="G139" s="16" t="n">
        <x:f>'Run Data'!J247</x:f>
        <x:v>128.777139</x:v>
      </x:c>
      <x:c r="H139" s="26" t="str">
        <x:f>IF(F139&lt;D139,"Ablation better",IF(F139&gt;D139,"Full better",IF(G139&lt;E139-'Protocol'!$B$13,"Ablation better",IF(G139&gt;E139+'Protocol'!$B$13,"Full better","Tie"))))</x:f>
        <x:v>Tie</x:v>
      </x:c>
      <x:c r="I139" s="16" t="n">
        <x:f>IF(F139=D139,G139-E139,"")</x:f>
        <x:v>0</x:v>
      </x:c>
      <x:c r="J139" s="16" t="n">
        <x:f>'Run Data'!K85</x:f>
        <x:v>2.88277</x:v>
      </x:c>
      <x:c r="K139" s="16" t="n">
        <x:f>'Run Data'!K247</x:f>
        <x:v>1.158462</x:v>
      </x:c>
    </x:row>
    <x:row r="140">
      <x:c r="A140" t="str">
        <x:v>No_Local_Search</x:v>
      </x:c>
      <x:c r="B140" t="str">
        <x:v>r201C10</x:v>
      </x:c>
      <x:c r="C140" s="15" t="n">
        <x:v>64</x:v>
      </x:c>
      <x:c r="D140" s="15" t="n">
        <x:f>'Run Data'!I86</x:f>
        <x:v>2</x:v>
      </x:c>
      <x:c r="E140" s="16" t="n">
        <x:f>'Run Data'!J86</x:f>
        <x:v>228.355271</x:v>
      </x:c>
      <x:c r="F140" s="15" t="n">
        <x:f>'Run Data'!I248</x:f>
        <x:v>1</x:v>
      </x:c>
      <x:c r="G140" s="16" t="n">
        <x:f>'Run Data'!J248</x:f>
        <x:v>241.505881</x:v>
      </x:c>
      <x:c r="H140" s="26" t="str">
        <x:f>IF(F140&lt;D140,"Ablation better",IF(F140&gt;D140,"Full better",IF(G140&lt;E140-'Protocol'!$B$13,"Ablation better",IF(G140&gt;E140+'Protocol'!$B$13,"Full better","Tie"))))</x:f>
        <x:v>Ablation better</x:v>
      </x:c>
      <x:c r="I140" s="16" t="str">
        <x:f>IF(F140=D140,G140-E140,"")</x:f>
      </x:c>
      <x:c r="J140" s="16" t="n">
        <x:f>'Run Data'!K86</x:f>
        <x:v>15.957447</x:v>
      </x:c>
      <x:c r="K140" s="16" t="n">
        <x:f>'Run Data'!K248</x:f>
        <x:v>12.600579</x:v>
      </x:c>
    </x:row>
    <x:row r="141">
      <x:c r="A141" t="str">
        <x:v>No_Local_Search</x:v>
      </x:c>
      <x:c r="B141" t="str">
        <x:v>r201C10</x:v>
      </x:c>
      <x:c r="C141" s="15" t="n">
        <x:v>65</x:v>
      </x:c>
      <x:c r="D141" s="15" t="n">
        <x:f>'Run Data'!I87</x:f>
        <x:v>1</x:v>
      </x:c>
      <x:c r="E141" s="16" t="n">
        <x:f>'Run Data'!J87</x:f>
        <x:v>241.505881</x:v>
      </x:c>
      <x:c r="F141" s="15" t="n">
        <x:f>'Run Data'!I249</x:f>
        <x:v>1</x:v>
      </x:c>
      <x:c r="G141" s="16" t="n">
        <x:f>'Run Data'!J249</x:f>
        <x:v>241.505881</x:v>
      </x:c>
      <x:c r="H141" s="26" t="str">
        <x:f>IF(F141&lt;D141,"Ablation better",IF(F141&gt;D141,"Full better",IF(G141&lt;E141-'Protocol'!$B$13,"Ablation better",IF(G141&gt;E141+'Protocol'!$B$13,"Full better","Tie"))))</x:f>
        <x:v>Tie</x:v>
      </x:c>
      <x:c r="I141" s="16" t="n">
        <x:f>IF(F141=D141,G141-E141,"")</x:f>
        <x:v>0</x:v>
      </x:c>
      <x:c r="J141" s="16" t="n">
        <x:f>'Run Data'!K87</x:f>
        <x:v>27.340475</x:v>
      </x:c>
      <x:c r="K141" s="16" t="n">
        <x:f>'Run Data'!K249</x:f>
        <x:v>12.547785</x:v>
      </x:c>
    </x:row>
    <x:row r="142">
      <x:c r="A142" t="str">
        <x:v>No_Local_Search</x:v>
      </x:c>
      <x:c r="B142" t="str">
        <x:v>r201C10</x:v>
      </x:c>
      <x:c r="C142" s="15" t="n">
        <x:v>66</x:v>
      </x:c>
      <x:c r="D142" s="15" t="n">
        <x:f>'Run Data'!I88</x:f>
        <x:v>1</x:v>
      </x:c>
      <x:c r="E142" s="16" t="n">
        <x:f>'Run Data'!J88</x:f>
        <x:v>241.505881</x:v>
      </x:c>
      <x:c r="F142" s="15" t="n">
        <x:f>'Run Data'!I250</x:f>
        <x:v>2</x:v>
      </x:c>
      <x:c r="G142" s="16" t="n">
        <x:f>'Run Data'!J250</x:f>
        <x:v>228.355271</x:v>
      </x:c>
      <x:c r="H142" s="26" t="str">
        <x:f>IF(F142&lt;D142,"Ablation better",IF(F142&gt;D142,"Full better",IF(G142&lt;E142-'Protocol'!$B$13,"Ablation better",IF(G142&gt;E142+'Protocol'!$B$13,"Full better","Tie"))))</x:f>
        <x:v>Full better</x:v>
      </x:c>
      <x:c r="I142" s="16" t="str">
        <x:f>IF(F142=D142,G142-E142,"")</x:f>
      </x:c>
      <x:c r="J142" s="16" t="n">
        <x:f>'Run Data'!K88</x:f>
        <x:v>28.335103</x:v>
      </x:c>
      <x:c r="K142" s="16" t="n">
        <x:f>'Run Data'!K250</x:f>
        <x:v>7.458426</x:v>
      </x:c>
    </x:row>
    <x:row r="143">
      <x:c r="A143" t="str">
        <x:v>No_Local_Search</x:v>
      </x:c>
      <x:c r="B143" t="str">
        <x:v>r202C15</x:v>
      </x:c>
      <x:c r="C143" s="15" t="n">
        <x:v>64</x:v>
      </x:c>
      <x:c r="D143" s="15" t="n">
        <x:f>'Run Data'!I89</x:f>
        <x:v>2</x:v>
      </x:c>
      <x:c r="E143" s="16" t="n">
        <x:f>'Run Data'!J89</x:f>
        <x:v>358.004778</x:v>
      </x:c>
      <x:c r="F143" s="15" t="n">
        <x:f>'Run Data'!I251</x:f>
        <x:v>2</x:v>
      </x:c>
      <x:c r="G143" s="16" t="n">
        <x:f>'Run Data'!J251</x:f>
        <x:v>358.004778</x:v>
      </x:c>
      <x:c r="H143" s="26" t="str">
        <x:f>IF(F143&lt;D143,"Ablation better",IF(F143&gt;D143,"Full better",IF(G143&lt;E143-'Protocol'!$B$13,"Ablation better",IF(G143&gt;E143+'Protocol'!$B$13,"Full better","Tie"))))</x:f>
        <x:v>Tie</x:v>
      </x:c>
      <x:c r="I143" s="16" t="n">
        <x:f>IF(F143=D143,G143-E143,"")</x:f>
        <x:v>0</x:v>
      </x:c>
      <x:c r="J143" s="16" t="n">
        <x:f>'Run Data'!K89</x:f>
        <x:v>180.584925</x:v>
      </x:c>
      <x:c r="K143" s="16" t="n">
        <x:f>'Run Data'!K251</x:f>
        <x:v>85.715835</x:v>
      </x:c>
    </x:row>
    <x:row r="144">
      <x:c r="A144" t="str">
        <x:v>No_Local_Search</x:v>
      </x:c>
      <x:c r="B144" t="str">
        <x:v>r202C15</x:v>
      </x:c>
      <x:c r="C144" s="15" t="n">
        <x:v>65</x:v>
      </x:c>
      <x:c r="D144" s="15" t="n">
        <x:f>'Run Data'!I90</x:f>
        <x:v>2</x:v>
      </x:c>
      <x:c r="E144" s="16" t="n">
        <x:f>'Run Data'!J90</x:f>
        <x:v>406.804399</x:v>
      </x:c>
      <x:c r="F144" s="15" t="n">
        <x:f>'Run Data'!I252</x:f>
        <x:v>2</x:v>
      </x:c>
      <x:c r="G144" s="16" t="n">
        <x:f>'Run Data'!J252</x:f>
        <x:v>394.973877</x:v>
      </x:c>
      <x:c r="H144" s="26" t="str">
        <x:f>IF(F144&lt;D144,"Ablation better",IF(F144&gt;D144,"Full better",IF(G144&lt;E144-'Protocol'!$B$13,"Ablation better",IF(G144&gt;E144+'Protocol'!$B$13,"Full better","Tie"))))</x:f>
        <x:v>Ablation better</x:v>
      </x:c>
      <x:c r="I144" s="16" t="n">
        <x:f>IF(F144=D144,G144-E144,"")</x:f>
        <x:v>-11.830521999999974</x:v>
      </x:c>
      <x:c r="J144" s="16" t="n">
        <x:f>'Run Data'!K90</x:f>
        <x:v>293.469101</x:v>
      </x:c>
      <x:c r="K144" s="16" t="n">
        <x:f>'Run Data'!K252</x:f>
        <x:v>138.936296</x:v>
      </x:c>
    </x:row>
    <x:row r="145">
      <x:c r="A145" t="str">
        <x:v>No_Local_Search</x:v>
      </x:c>
      <x:c r="B145" t="str">
        <x:v>r202C15</x:v>
      </x:c>
      <x:c r="C145" s="15" t="n">
        <x:v>66</x:v>
      </x:c>
      <x:c r="D145" s="15" t="n">
        <x:f>'Run Data'!I91</x:f>
        <x:v>2</x:v>
      </x:c>
      <x:c r="E145" s="16" t="n">
        <x:f>'Run Data'!J91</x:f>
        <x:v>358.004778</x:v>
      </x:c>
      <x:c r="F145" s="15" t="n">
        <x:f>'Run Data'!I253</x:f>
        <x:v>2</x:v>
      </x:c>
      <x:c r="G145" s="16" t="n">
        <x:f>'Run Data'!J253</x:f>
        <x:v>394.973877</x:v>
      </x:c>
      <x:c r="H145" s="26" t="str">
        <x:f>IF(F145&lt;D145,"Ablation better",IF(F145&gt;D145,"Full better",IF(G145&lt;E145-'Protocol'!$B$13,"Ablation better",IF(G145&gt;E145+'Protocol'!$B$13,"Full better","Tie"))))</x:f>
        <x:v>Full better</x:v>
      </x:c>
      <x:c r="I145" s="16" t="n">
        <x:f>IF(F145=D145,G145-E145,"")</x:f>
        <x:v>36.96909900000003</x:v>
      </x:c>
      <x:c r="J145" s="16" t="n">
        <x:f>'Run Data'!K91</x:f>
        <x:v>174.530089</x:v>
      </x:c>
      <x:c r="K145" s="16" t="n">
        <x:f>'Run Data'!K253</x:f>
        <x:v>140.648469</x:v>
      </x:c>
    </x:row>
    <x:row r="146">
      <x:c r="A146" t="str">
        <x:v>No_Local_Search</x:v>
      </x:c>
      <x:c r="B146" t="str">
        <x:v>rc105C5</x:v>
      </x:c>
      <x:c r="C146" s="15" t="n">
        <x:v>64</x:v>
      </x:c>
      <x:c r="D146" s="15" t="n">
        <x:f>'Run Data'!I92</x:f>
        <x:v>3</x:v>
      </x:c>
      <x:c r="E146" s="16" t="n">
        <x:f>'Run Data'!J92</x:f>
        <x:v>238.052232</x:v>
      </x:c>
      <x:c r="F146" s="15" t="n">
        <x:f>'Run Data'!I254</x:f>
        <x:v>3</x:v>
      </x:c>
      <x:c r="G146" s="16" t="n">
        <x:f>'Run Data'!J254</x:f>
        <x:v>238.052232</x:v>
      </x:c>
      <x:c r="H146" s="26" t="str">
        <x:f>IF(F146&lt;D146,"Ablation better",IF(F146&gt;D146,"Full better",IF(G146&lt;E146-'Protocol'!$B$13,"Ablation better",IF(G146&gt;E146+'Protocol'!$B$13,"Full better","Tie"))))</x:f>
        <x:v>Tie</x:v>
      </x:c>
      <x:c r="I146" s="16" t="n">
        <x:f>IF(F146=D146,G146-E146,"")</x:f>
        <x:v>0</x:v>
      </x:c>
      <x:c r="J146" s="16" t="n">
        <x:f>'Run Data'!K92</x:f>
        <x:v>1.200469</x:v>
      </x:c>
      <x:c r="K146" s="16" t="n">
        <x:f>'Run Data'!K254</x:f>
        <x:v>0.569182</x:v>
      </x:c>
    </x:row>
    <x:row r="147">
      <x:c r="A147" t="str">
        <x:v>No_Local_Search</x:v>
      </x:c>
      <x:c r="B147" t="str">
        <x:v>rc105C5</x:v>
      </x:c>
      <x:c r="C147" s="15" t="n">
        <x:v>65</x:v>
      </x:c>
      <x:c r="D147" s="15" t="n">
        <x:f>'Run Data'!I93</x:f>
        <x:v>3</x:v>
      </x:c>
      <x:c r="E147" s="16" t="n">
        <x:f>'Run Data'!J93</x:f>
        <x:v>238.052232</x:v>
      </x:c>
      <x:c r="F147" s="15" t="n">
        <x:f>'Run Data'!I255</x:f>
        <x:v>3</x:v>
      </x:c>
      <x:c r="G147" s="16" t="n">
        <x:f>'Run Data'!J255</x:f>
        <x:v>238.052232</x:v>
      </x:c>
      <x:c r="H147" s="26" t="str">
        <x:f>IF(F147&lt;D147,"Ablation better",IF(F147&gt;D147,"Full better",IF(G147&lt;E147-'Protocol'!$B$13,"Ablation better",IF(G147&gt;E147+'Protocol'!$B$13,"Full better","Tie"))))</x:f>
        <x:v>Tie</x:v>
      </x:c>
      <x:c r="I147" s="16" t="n">
        <x:f>IF(F147=D147,G147-E147,"")</x:f>
        <x:v>0</x:v>
      </x:c>
      <x:c r="J147" s="16" t="n">
        <x:f>'Run Data'!K93</x:f>
        <x:v>1.169266</x:v>
      </x:c>
      <x:c r="K147" s="16" t="n">
        <x:f>'Run Data'!K255</x:f>
        <x:v>0.586442</x:v>
      </x:c>
    </x:row>
    <x:row r="148">
      <x:c r="A148" t="str">
        <x:v>No_Local_Search</x:v>
      </x:c>
      <x:c r="B148" t="str">
        <x:v>rc105C5</x:v>
      </x:c>
      <x:c r="C148" s="15" t="n">
        <x:v>66</x:v>
      </x:c>
      <x:c r="D148" s="15" t="n">
        <x:f>'Run Data'!I94</x:f>
        <x:v>3</x:v>
      </x:c>
      <x:c r="E148" s="16" t="n">
        <x:f>'Run Data'!J94</x:f>
        <x:v>238.052232</x:v>
      </x:c>
      <x:c r="F148" s="15" t="n">
        <x:f>'Run Data'!I256</x:f>
        <x:v>3</x:v>
      </x:c>
      <x:c r="G148" s="16" t="n">
        <x:f>'Run Data'!J256</x:f>
        <x:v>238.052232</x:v>
      </x:c>
      <x:c r="H148" s="26" t="str">
        <x:f>IF(F148&lt;D148,"Ablation better",IF(F148&gt;D148,"Full better",IF(G148&lt;E148-'Protocol'!$B$13,"Ablation better",IF(G148&gt;E148+'Protocol'!$B$13,"Full better","Tie"))))</x:f>
        <x:v>Tie</x:v>
      </x:c>
      <x:c r="I148" s="16" t="n">
        <x:f>IF(F148=D148,G148-E148,"")</x:f>
        <x:v>0</x:v>
      </x:c>
      <x:c r="J148" s="16" t="n">
        <x:f>'Run Data'!K94</x:f>
        <x:v>1.200468</x:v>
      </x:c>
      <x:c r="K148" s="16" t="n">
        <x:f>'Run Data'!K256</x:f>
        <x:v>0.554824</x:v>
      </x:c>
    </x:row>
    <x:row r="149">
      <x:c r="A149" t="str">
        <x:v>No_Local_Search</x:v>
      </x:c>
      <x:c r="B149" t="str">
        <x:v>rc102C10</x:v>
      </x:c>
      <x:c r="C149" s="15" t="n">
        <x:v>64</x:v>
      </x:c>
      <x:c r="D149" s="15" t="n">
        <x:f>'Run Data'!I95</x:f>
        <x:v>4</x:v>
      </x:c>
      <x:c r="E149" s="16" t="n">
        <x:f>'Run Data'!J95</x:f>
        <x:v>423.510182</x:v>
      </x:c>
      <x:c r="F149" s="15" t="n">
        <x:f>'Run Data'!I257</x:f>
        <x:v>4</x:v>
      </x:c>
      <x:c r="G149" s="16" t="n">
        <x:f>'Run Data'!J257</x:f>
        <x:v>423.510182</x:v>
      </x:c>
      <x:c r="H149" s="26" t="str">
        <x:f>IF(F149&lt;D149,"Ablation better",IF(F149&gt;D149,"Full better",IF(G149&lt;E149-'Protocol'!$B$13,"Ablation better",IF(G149&gt;E149+'Protocol'!$B$13,"Full better","Tie"))))</x:f>
        <x:v>Tie</x:v>
      </x:c>
      <x:c r="I149" s="16" t="n">
        <x:f>IF(F149=D149,G149-E149,"")</x:f>
        <x:v>0</x:v>
      </x:c>
      <x:c r="J149" s="16" t="n">
        <x:f>'Run Data'!K95</x:f>
        <x:v>9.157004</x:v>
      </x:c>
      <x:c r="K149" s="16" t="n">
        <x:f>'Run Data'!K257</x:f>
        <x:v>4.820043</x:v>
      </x:c>
    </x:row>
    <x:row r="150">
      <x:c r="A150" t="str">
        <x:v>No_Local_Search</x:v>
      </x:c>
      <x:c r="B150" t="str">
        <x:v>rc102C10</x:v>
      </x:c>
      <x:c r="C150" s="15" t="n">
        <x:v>65</x:v>
      </x:c>
      <x:c r="D150" s="15" t="n">
        <x:f>'Run Data'!I96</x:f>
        <x:v>4</x:v>
      </x:c>
      <x:c r="E150" s="16" t="n">
        <x:f>'Run Data'!J96</x:f>
        <x:v>423.510182</x:v>
      </x:c>
      <x:c r="F150" s="15" t="n">
        <x:f>'Run Data'!I258</x:f>
        <x:v>4</x:v>
      </x:c>
      <x:c r="G150" s="16" t="n">
        <x:f>'Run Data'!J258</x:f>
        <x:v>423.510182</x:v>
      </x:c>
      <x:c r="H150" s="26" t="str">
        <x:f>IF(F150&lt;D150,"Ablation better",IF(F150&gt;D150,"Full better",IF(G150&lt;E150-'Protocol'!$B$13,"Ablation better",IF(G150&gt;E150+'Protocol'!$B$13,"Full better","Tie"))))</x:f>
        <x:v>Tie</x:v>
      </x:c>
      <x:c r="I150" s="16" t="n">
        <x:f>IF(F150=D150,G150-E150,"")</x:f>
        <x:v>0</x:v>
      </x:c>
      <x:c r="J150" s="16" t="n">
        <x:f>'Run Data'!K96</x:f>
        <x:v>8.805708</x:v>
      </x:c>
      <x:c r="K150" s="16" t="n">
        <x:f>'Run Data'!K258</x:f>
        <x:v>4.885151</x:v>
      </x:c>
    </x:row>
    <x:row r="151">
      <x:c r="A151" t="str">
        <x:v>No_Local_Search</x:v>
      </x:c>
      <x:c r="B151" t="str">
        <x:v>rc102C10</x:v>
      </x:c>
      <x:c r="C151" s="15" t="n">
        <x:v>66</x:v>
      </x:c>
      <x:c r="D151" s="15" t="n">
        <x:f>'Run Data'!I97</x:f>
        <x:v>4</x:v>
      </x:c>
      <x:c r="E151" s="16" t="n">
        <x:f>'Run Data'!J97</x:f>
        <x:v>423.510182</x:v>
      </x:c>
      <x:c r="F151" s="15" t="n">
        <x:f>'Run Data'!I259</x:f>
        <x:v>4</x:v>
      </x:c>
      <x:c r="G151" s="16" t="n">
        <x:f>'Run Data'!J259</x:f>
        <x:v>423.510182</x:v>
      </x:c>
      <x:c r="H151" s="26" t="str">
        <x:f>IF(F151&lt;D151,"Ablation better",IF(F151&gt;D151,"Full better",IF(G151&lt;E151-'Protocol'!$B$13,"Ablation better",IF(G151&gt;E151+'Protocol'!$B$13,"Full better","Tie"))))</x:f>
        <x:v>Tie</x:v>
      </x:c>
      <x:c r="I151" s="16" t="n">
        <x:f>IF(F151=D151,G151-E151,"")</x:f>
        <x:v>0</x:v>
      </x:c>
      <x:c r="J151" s="16" t="n">
        <x:f>'Run Data'!K97</x:f>
        <x:v>9.372135</x:v>
      </x:c>
      <x:c r="K151" s="16" t="n">
        <x:f>'Run Data'!K259</x:f>
        <x:v>4.767204</x:v>
      </x:c>
    </x:row>
    <x:row r="152">
      <x:c r="A152" t="str">
        <x:v>No_Local_Search</x:v>
      </x:c>
      <x:c r="B152" t="str">
        <x:v>rc103C15</x:v>
      </x:c>
      <x:c r="C152" s="15" t="n">
        <x:v>64</x:v>
      </x:c>
      <x:c r="D152" s="15" t="n">
        <x:f>'Run Data'!I98</x:f>
        <x:v>4</x:v>
      </x:c>
      <x:c r="E152" s="16" t="n">
        <x:f>'Run Data'!J98</x:f>
        <x:v>397.669857</x:v>
      </x:c>
      <x:c r="F152" s="15" t="n">
        <x:f>'Run Data'!I260</x:f>
        <x:v>4</x:v>
      </x:c>
      <x:c r="G152" s="16" t="n">
        <x:f>'Run Data'!J260</x:f>
        <x:v>397.669857</x:v>
      </x:c>
      <x:c r="H152" s="26" t="str">
        <x:f>IF(F152&lt;D152,"Ablation better",IF(F152&gt;D152,"Full better",IF(G152&lt;E152-'Protocol'!$B$13,"Ablation better",IF(G152&gt;E152+'Protocol'!$B$13,"Full better","Tie"))))</x:f>
        <x:v>Tie</x:v>
      </x:c>
      <x:c r="I152" s="16" t="n">
        <x:f>IF(F152=D152,G152-E152,"")</x:f>
        <x:v>0</x:v>
      </x:c>
      <x:c r="J152" s="16" t="n">
        <x:f>'Run Data'!K98</x:f>
        <x:v>48.269425</x:v>
      </x:c>
      <x:c r="K152" s="16" t="n">
        <x:f>'Run Data'!K260</x:f>
        <x:v>29.708646</x:v>
      </x:c>
    </x:row>
    <x:row r="153">
      <x:c r="A153" t="str">
        <x:v>No_Local_Search</x:v>
      </x:c>
      <x:c r="B153" t="str">
        <x:v>rc103C15</x:v>
      </x:c>
      <x:c r="C153" s="15" t="n">
        <x:v>65</x:v>
      </x:c>
      <x:c r="D153" s="15" t="n">
        <x:f>'Run Data'!I99</x:f>
        <x:v>4</x:v>
      </x:c>
      <x:c r="E153" s="16" t="n">
        <x:f>'Run Data'!J99</x:f>
        <x:v>397.669857</x:v>
      </x:c>
      <x:c r="F153" s="15" t="n">
        <x:f>'Run Data'!I261</x:f>
        <x:v>4</x:v>
      </x:c>
      <x:c r="G153" s="16" t="n">
        <x:f>'Run Data'!J261</x:f>
        <x:v>397.669857</x:v>
      </x:c>
      <x:c r="H153" s="26" t="str">
        <x:f>IF(F153&lt;D153,"Ablation better",IF(F153&gt;D153,"Full better",IF(G153&lt;E153-'Protocol'!$B$13,"Ablation better",IF(G153&gt;E153+'Protocol'!$B$13,"Full better","Tie"))))</x:f>
        <x:v>Tie</x:v>
      </x:c>
      <x:c r="I153" s="16" t="n">
        <x:f>IF(F153=D153,G153-E153,"")</x:f>
        <x:v>0</x:v>
      </x:c>
      <x:c r="J153" s="16" t="n">
        <x:f>'Run Data'!K99</x:f>
        <x:v>52.741467</x:v>
      </x:c>
      <x:c r="K153" s="16" t="n">
        <x:f>'Run Data'!K261</x:f>
        <x:v>27.736357</x:v>
      </x:c>
    </x:row>
    <x:row r="154">
      <x:c r="A154" t="str">
        <x:v>No_Local_Search</x:v>
      </x:c>
      <x:c r="B154" t="str">
        <x:v>rc103C15</x:v>
      </x:c>
      <x:c r="C154" s="15" t="n">
        <x:v>66</x:v>
      </x:c>
      <x:c r="D154" s="15" t="n">
        <x:f>'Run Data'!I100</x:f>
        <x:v>4</x:v>
      </x:c>
      <x:c r="E154" s="16" t="n">
        <x:f>'Run Data'!J100</x:f>
        <x:v>397.669857</x:v>
      </x:c>
      <x:c r="F154" s="15" t="n">
        <x:f>'Run Data'!I262</x:f>
        <x:v>4</x:v>
      </x:c>
      <x:c r="G154" s="16" t="n">
        <x:f>'Run Data'!J262</x:f>
        <x:v>397.669857</x:v>
      </x:c>
      <x:c r="H154" s="26" t="str">
        <x:f>IF(F154&lt;D154,"Ablation better",IF(F154&gt;D154,"Full better",IF(G154&lt;E154-'Protocol'!$B$13,"Ablation better",IF(G154&gt;E154+'Protocol'!$B$13,"Full better","Tie"))))</x:f>
        <x:v>Tie</x:v>
      </x:c>
      <x:c r="I154" s="16" t="n">
        <x:f>IF(F154=D154,G154-E154,"")</x:f>
        <x:v>0</x:v>
      </x:c>
      <x:c r="J154" s="16" t="n">
        <x:f>'Run Data'!K100</x:f>
        <x:v>55.397534</x:v>
      </x:c>
      <x:c r="K154" s="16" t="n">
        <x:f>'Run Data'!K262</x:f>
        <x:v>28.294137</x:v>
      </x:c>
    </x:row>
    <x:row r="155">
      <x:c r="A155" t="str">
        <x:v>No_Local_Search</x:v>
      </x:c>
      <x:c r="B155" t="str">
        <x:v>rc204C5</x:v>
      </x:c>
      <x:c r="C155" s="15" t="n">
        <x:v>64</x:v>
      </x:c>
      <x:c r="D155" s="15" t="n">
        <x:f>'Run Data'!I101</x:f>
        <x:v>1</x:v>
      </x:c>
      <x:c r="E155" s="16" t="n">
        <x:f>'Run Data'!J101</x:f>
        <x:v>179.162472</x:v>
      </x:c>
      <x:c r="F155" s="15" t="n">
        <x:f>'Run Data'!I263</x:f>
        <x:v>1</x:v>
      </x:c>
      <x:c r="G155" s="16" t="n">
        <x:f>'Run Data'!J263</x:f>
        <x:v>185.444295</x:v>
      </x:c>
      <x:c r="H155" s="26" t="str">
        <x:f>IF(F155&lt;D155,"Ablation better",IF(F155&gt;D155,"Full better",IF(G155&lt;E155-'Protocol'!$B$13,"Ablation better",IF(G155&gt;E155+'Protocol'!$B$13,"Full better","Tie"))))</x:f>
        <x:v>Full better</x:v>
      </x:c>
      <x:c r="I155" s="16" t="n">
        <x:f>IF(F155=D155,G155-E155,"")</x:f>
        <x:v>6.281823000000003</x:v>
      </x:c>
      <x:c r="J155" s="16" t="n">
        <x:f>'Run Data'!K101</x:f>
        <x:v>3.448381</x:v>
      </x:c>
      <x:c r="K155" s="16" t="n">
        <x:f>'Run Data'!K263</x:f>
        <x:v>2.524417</x:v>
      </x:c>
    </x:row>
    <x:row r="156">
      <x:c r="A156" t="str">
        <x:v>No_Local_Search</x:v>
      </x:c>
      <x:c r="B156" t="str">
        <x:v>rc204C5</x:v>
      </x:c>
      <x:c r="C156" s="15" t="n">
        <x:v>65</x:v>
      </x:c>
      <x:c r="D156" s="15" t="n">
        <x:f>'Run Data'!I102</x:f>
        <x:v>1</x:v>
      </x:c>
      <x:c r="E156" s="16" t="n">
        <x:f>'Run Data'!J102</x:f>
        <x:v>179.162472</x:v>
      </x:c>
      <x:c r="F156" s="15" t="n">
        <x:f>'Run Data'!I264</x:f>
        <x:v>1</x:v>
      </x:c>
      <x:c r="G156" s="16" t="n">
        <x:f>'Run Data'!J264</x:f>
        <x:v>185.444295</x:v>
      </x:c>
      <x:c r="H156" s="26" t="str">
        <x:f>IF(F156&lt;D156,"Ablation better",IF(F156&gt;D156,"Full better",IF(G156&lt;E156-'Protocol'!$B$13,"Ablation better",IF(G156&gt;E156+'Protocol'!$B$13,"Full better","Tie"))))</x:f>
        <x:v>Full better</x:v>
      </x:c>
      <x:c r="I156" s="16" t="n">
        <x:f>IF(F156=D156,G156-E156,"")</x:f>
        <x:v>6.281823000000003</x:v>
      </x:c>
      <x:c r="J156" s="16" t="n">
        <x:f>'Run Data'!K102</x:f>
        <x:v>3.629286</x:v>
      </x:c>
      <x:c r="K156" s="16" t="n">
        <x:f>'Run Data'!K264</x:f>
        <x:v>2.461183</x:v>
      </x:c>
    </x:row>
    <x:row r="157">
      <x:c r="A157" t="str">
        <x:v>No_Local_Search</x:v>
      </x:c>
      <x:c r="B157" t="str">
        <x:v>rc204C5</x:v>
      </x:c>
      <x:c r="C157" s="15" t="n">
        <x:v>66</x:v>
      </x:c>
      <x:c r="D157" s="15" t="n">
        <x:f>'Run Data'!I103</x:f>
        <x:v>1</x:v>
      </x:c>
      <x:c r="E157" s="16" t="n">
        <x:f>'Run Data'!J103</x:f>
        <x:v>179.162472</x:v>
      </x:c>
      <x:c r="F157" s="15" t="n">
        <x:f>'Run Data'!I265</x:f>
        <x:v>1</x:v>
      </x:c>
      <x:c r="G157" s="16" t="n">
        <x:f>'Run Data'!J265</x:f>
        <x:v>185.444295</x:v>
      </x:c>
      <x:c r="H157" s="26" t="str">
        <x:f>IF(F157&lt;D157,"Ablation better",IF(F157&gt;D157,"Full better",IF(G157&lt;E157-'Protocol'!$B$13,"Ablation better",IF(G157&gt;E157+'Protocol'!$B$13,"Full better","Tie"))))</x:f>
        <x:v>Full better</x:v>
      </x:c>
      <x:c r="I157" s="16" t="n">
        <x:f>IF(F157=D157,G157-E157,"")</x:f>
        <x:v>6.281823000000003</x:v>
      </x:c>
      <x:c r="J157" s="16" t="n">
        <x:f>'Run Data'!K103</x:f>
        <x:v>3.565897</x:v>
      </x:c>
      <x:c r="K157" s="16" t="n">
        <x:f>'Run Data'!K265</x:f>
        <x:v>2.539709</x:v>
      </x:c>
    </x:row>
    <x:row r="158">
      <x:c r="A158" t="str">
        <x:v>No_Local_Search</x:v>
      </x:c>
      <x:c r="B158" t="str">
        <x:v>rc201C10</x:v>
      </x:c>
      <x:c r="C158" s="15" t="n">
        <x:v>64</x:v>
      </x:c>
      <x:c r="D158" s="15" t="n">
        <x:f>'Run Data'!I104</x:f>
        <x:v>1</x:v>
      </x:c>
      <x:c r="E158" s="16" t="n">
        <x:f>'Run Data'!J104</x:f>
        <x:v>412.861395</x:v>
      </x:c>
      <x:c r="F158" s="15" t="n">
        <x:f>'Run Data'!I266</x:f>
        <x:v>1</x:v>
      </x:c>
      <x:c r="G158" s="16" t="n">
        <x:f>'Run Data'!J266</x:f>
        <x:v>412.861395</x:v>
      </x:c>
      <x:c r="H158" s="26" t="str">
        <x:f>IF(F158&lt;D158,"Ablation better",IF(F158&gt;D158,"Full better",IF(G158&lt;E158-'Protocol'!$B$13,"Ablation better",IF(G158&gt;E158+'Protocol'!$B$13,"Full better","Tie"))))</x:f>
        <x:v>Tie</x:v>
      </x:c>
      <x:c r="I158" s="16" t="n">
        <x:f>IF(F158=D158,G158-E158,"")</x:f>
        <x:v>0</x:v>
      </x:c>
      <x:c r="J158" s="16" t="n">
        <x:f>'Run Data'!K104</x:f>
        <x:v>24.297968</x:v>
      </x:c>
      <x:c r="K158" s="16" t="n">
        <x:f>'Run Data'!K266</x:f>
        <x:v>11.976199</x:v>
      </x:c>
    </x:row>
    <x:row r="159">
      <x:c r="A159" t="str">
        <x:v>No_Local_Search</x:v>
      </x:c>
      <x:c r="B159" t="str">
        <x:v>rc201C10</x:v>
      </x:c>
      <x:c r="C159" s="15" t="n">
        <x:v>65</x:v>
      </x:c>
      <x:c r="D159" s="15" t="n">
        <x:f>'Run Data'!I105</x:f>
        <x:v>1</x:v>
      </x:c>
      <x:c r="E159" s="16" t="n">
        <x:f>'Run Data'!J105</x:f>
        <x:v>412.861395</x:v>
      </x:c>
      <x:c r="F159" s="15" t="n">
        <x:f>'Run Data'!I267</x:f>
        <x:v>1</x:v>
      </x:c>
      <x:c r="G159" s="16" t="n">
        <x:f>'Run Data'!J267</x:f>
        <x:v>412.861395</x:v>
      </x:c>
      <x:c r="H159" s="26" t="str">
        <x:f>IF(F159&lt;D159,"Ablation better",IF(F159&gt;D159,"Full better",IF(G159&lt;E159-'Protocol'!$B$13,"Ablation better",IF(G159&gt;E159+'Protocol'!$B$13,"Full better","Tie"))))</x:f>
        <x:v>Tie</x:v>
      </x:c>
      <x:c r="I159" s="16" t="n">
        <x:f>IF(F159=D159,G159-E159,"")</x:f>
        <x:v>0</x:v>
      </x:c>
      <x:c r="J159" s="16" t="n">
        <x:f>'Run Data'!K105</x:f>
        <x:v>25.454874</x:v>
      </x:c>
      <x:c r="K159" s="16" t="n">
        <x:f>'Run Data'!K267</x:f>
        <x:v>11.914961</x:v>
      </x:c>
    </x:row>
    <x:row r="160">
      <x:c r="A160" t="str">
        <x:v>No_Local_Search</x:v>
      </x:c>
      <x:c r="B160" t="str">
        <x:v>rc201C10</x:v>
      </x:c>
      <x:c r="C160" s="15" t="n">
        <x:v>66</x:v>
      </x:c>
      <x:c r="D160" s="15" t="n">
        <x:f>'Run Data'!I106</x:f>
        <x:v>1</x:v>
      </x:c>
      <x:c r="E160" s="16" t="n">
        <x:f>'Run Data'!J106</x:f>
        <x:v>412.861395</x:v>
      </x:c>
      <x:c r="F160" s="15" t="n">
        <x:f>'Run Data'!I268</x:f>
        <x:v>1</x:v>
      </x:c>
      <x:c r="G160" s="16" t="n">
        <x:f>'Run Data'!J268</x:f>
        <x:v>412.861395</x:v>
      </x:c>
      <x:c r="H160" s="26" t="str">
        <x:f>IF(F160&lt;D160,"Ablation better",IF(F160&gt;D160,"Full better",IF(G160&lt;E160-'Protocol'!$B$13,"Ablation better",IF(G160&gt;E160+'Protocol'!$B$13,"Full better","Tie"))))</x:f>
        <x:v>Tie</x:v>
      </x:c>
      <x:c r="I160" s="16" t="n">
        <x:f>IF(F160=D160,G160-E160,"")</x:f>
        <x:v>0</x:v>
      </x:c>
      <x:c r="J160" s="16" t="n">
        <x:f>'Run Data'!K106</x:f>
        <x:v>24.453904</x:v>
      </x:c>
      <x:c r="K160" s="16" t="n">
        <x:f>'Run Data'!K268</x:f>
        <x:v>11.926088</x:v>
      </x:c>
    </x:row>
    <x:row r="161">
      <x:c r="A161" t="str">
        <x:v>No_Local_Search</x:v>
      </x:c>
      <x:c r="B161" t="str">
        <x:v>rc202C15</x:v>
      </x:c>
      <x:c r="C161" s="15" t="n">
        <x:v>64</x:v>
      </x:c>
      <x:c r="D161" s="15" t="n">
        <x:f>'Run Data'!I107</x:f>
        <x:v>2</x:v>
      </x:c>
      <x:c r="E161" s="16" t="n">
        <x:f>'Run Data'!J107</x:f>
        <x:v>394.387139</x:v>
      </x:c>
      <x:c r="F161" s="15" t="n">
        <x:f>'Run Data'!I269</x:f>
        <x:v>2</x:v>
      </x:c>
      <x:c r="G161" s="16" t="n">
        <x:f>'Run Data'!J269</x:f>
        <x:v>394.387139</x:v>
      </x:c>
      <x:c r="H161" s="26" t="str">
        <x:f>IF(F161&lt;D161,"Ablation better",IF(F161&gt;D161,"Full better",IF(G161&lt;E161-'Protocol'!$B$13,"Ablation better",IF(G161&gt;E161+'Protocol'!$B$13,"Full better","Tie"))))</x:f>
        <x:v>Tie</x:v>
      </x:c>
      <x:c r="I161" s="16" t="n">
        <x:f>IF(F161=D161,G161-E161,"")</x:f>
        <x:v>0</x:v>
      </x:c>
      <x:c r="J161" s="16" t="n">
        <x:f>'Run Data'!K107</x:f>
        <x:v>145.443556</x:v>
      </x:c>
      <x:c r="K161" s="16" t="n">
        <x:f>'Run Data'!K269</x:f>
        <x:v>69.111805</x:v>
      </x:c>
    </x:row>
    <x:row r="162">
      <x:c r="A162" t="str">
        <x:v>No_Local_Search</x:v>
      </x:c>
      <x:c r="B162" t="str">
        <x:v>rc202C15</x:v>
      </x:c>
      <x:c r="C162" s="15" t="n">
        <x:v>65</x:v>
      </x:c>
      <x:c r="D162" s="15" t="n">
        <x:f>'Run Data'!I108</x:f>
        <x:v>2</x:v>
      </x:c>
      <x:c r="E162" s="16" t="n">
        <x:f>'Run Data'!J108</x:f>
        <x:v>394.387139</x:v>
      </x:c>
      <x:c r="F162" s="15" t="n">
        <x:f>'Run Data'!I270</x:f>
        <x:v>2</x:v>
      </x:c>
      <x:c r="G162" s="16" t="n">
        <x:f>'Run Data'!J270</x:f>
        <x:v>457.909313</x:v>
      </x:c>
      <x:c r="H162" s="26" t="str">
        <x:f>IF(F162&lt;D162,"Ablation better",IF(F162&gt;D162,"Full better",IF(G162&lt;E162-'Protocol'!$B$13,"Ablation better",IF(G162&gt;E162+'Protocol'!$B$13,"Full better","Tie"))))</x:f>
        <x:v>Full better</x:v>
      </x:c>
      <x:c r="I162" s="16" t="n">
        <x:f>IF(F162=D162,G162-E162,"")</x:f>
        <x:v>63.52217400000001</x:v>
      </x:c>
      <x:c r="J162" s="16" t="n">
        <x:f>'Run Data'!K108</x:f>
        <x:v>143.618389</x:v>
      </x:c>
      <x:c r="K162" s="16" t="n">
        <x:f>'Run Data'!K270</x:f>
        <x:v>66.876039</x:v>
      </x:c>
    </x:row>
    <x:row r="163">
      <x:c r="A163" t="str">
        <x:v>No_Local_Search</x:v>
      </x:c>
      <x:c r="B163" t="str">
        <x:v>rc202C15</x:v>
      </x:c>
      <x:c r="C163" s="15" t="n">
        <x:v>66</x:v>
      </x:c>
      <x:c r="D163" s="15" t="n">
        <x:f>'Run Data'!I109</x:f>
        <x:v>2</x:v>
      </x:c>
      <x:c r="E163" s="16" t="n">
        <x:f>'Run Data'!J109</x:f>
        <x:v>394.387139</x:v>
      </x:c>
      <x:c r="F163" s="15" t="n">
        <x:f>'Run Data'!I271</x:f>
        <x:v>2</x:v>
      </x:c>
      <x:c r="G163" s="16" t="n">
        <x:f>'Run Data'!J271</x:f>
        <x:v>394.387139</x:v>
      </x:c>
      <x:c r="H163" s="26" t="str">
        <x:f>IF(F163&lt;D163,"Ablation better",IF(F163&gt;D163,"Full better",IF(G163&lt;E163-'Protocol'!$B$13,"Ablation better",IF(G163&gt;E163+'Protocol'!$B$13,"Full better","Tie"))))</x:f>
        <x:v>Tie</x:v>
      </x:c>
      <x:c r="I163" s="16" t="n">
        <x:f>IF(F163=D163,G163-E163,"")</x:f>
        <x:v>0</x:v>
      </x:c>
      <x:c r="J163" s="16" t="n">
        <x:f>'Run Data'!K109</x:f>
        <x:v>135.728162</x:v>
      </x:c>
      <x:c r="K163" s="16" t="n">
        <x:f>'Run Data'!K271</x:f>
        <x:v>74.821037</x:v>
      </x:c>
    </x:row>
  </x:sheetData>
  <x:conditionalFormatting sqref="H2:H163">
    <x:cfRule type="containsText" dxfId="0" priority="1" operator="containsText" text="Full better"/>
    <x:cfRule type="containsText" dxfId="1" priority="2" operator="containsText" text="Ablation better"/>
  </x:conditionalFormatting>
  <x:pageMargins left="0.7" right="0.7" top="0.75" bottom="0.75" header="0.3" footer="0.3"/>
  <x:tableParts count="1">
    <x:tablePart xmlns:r="http://schemas.openxmlformats.org/officeDocument/2006/relationships" r:id="R43023fbeab284e9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26" hidden="0" customWidth="1"/>
    <x:col min="3" max="3" width="2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28" hidden="0" customWidth="1"/>
    <x:col min="33" max="33" width="28" hidden="0" customWidth="1"/>
    <x:col min="34" max="34" width="28" hidden="0" customWidth="1"/>
  </x:cols>
  <x:sheetData>
    <x:row r="1" ht="28" customHeight="1">
      <x:c r="A1" s="10" t="str">
        <x:v>Source file</x:v>
      </x:c>
      <x:c r="B1" s="10" t="str">
        <x:v>Variant</x:v>
      </x:c>
      <x:c r="C1" s="10" t="str">
        <x:v>Method</x:v>
      </x:c>
      <x:c r="D1" s="10" t="str">
        <x:v>Instance</x:v>
      </x:c>
      <x:c r="E1" s="10" t="str">
        <x:v>Seed</x:v>
      </x:c>
      <x:c r="F1" s="10" t="str">
        <x:v>Family</x:v>
      </x:c>
      <x:c r="G1" s="10" t="str">
        <x:v>Customers</x:v>
      </x:c>
      <x:c r="H1" s="10" t="str">
        <x:v>Feasible (1/0)</x:v>
      </x:c>
      <x:c r="I1" s="10" t="str">
        <x:v>Vehicles</x:v>
      </x:c>
      <x:c r="J1" s="10" t="str">
        <x:v>Distance</x:v>
      </x:c>
      <x:c r="K1" s="10" t="str">
        <x:v>Runtime (s)</x:v>
      </x:c>
      <x:c r="L1" s="10" t="str">
        <x:v>Iterations</x:v>
      </x:c>
      <x:c r="M1" s="10" t="str">
        <x:v>Best iteration</x:v>
      </x:c>
      <x:c r="N1" s="10" t="str">
        <x:v>Accepted</x:v>
      </x:c>
      <x:c r="O1" s="10" t="str">
        <x:v>Improving</x:v>
      </x:c>
      <x:c r="P1" s="10" t="str">
        <x:v>Neutral</x:v>
      </x:c>
      <x:c r="Q1" s="10" t="str">
        <x:v>Accepted worse</x:v>
      </x:c>
      <x:c r="R1" s="10" t="str">
        <x:v>Neutral rate</x:v>
      </x:c>
      <x:c r="S1" s="10" t="str">
        <x:v>Termination</x:v>
      </x:c>
      <x:c r="T1" s="10" t="str">
        <x:v>Time limit hit</x:v>
      </x:c>
      <x:c r="U1" s="10" t="str">
        <x:v>Missing customers</x:v>
      </x:c>
      <x:c r="V1" s="10" t="str">
        <x:v>Duplicate customers</x:v>
      </x:c>
      <x:c r="W1" s="10" t="str">
        <x:v>Late customers</x:v>
      </x:c>
      <x:c r="X1" s="10" t="str">
        <x:v>Route structure violation</x:v>
      </x:c>
      <x:c r="Y1" s="10" t="str">
        <x:v>Capacity violation</x:v>
      </x:c>
      <x:c r="Z1" s="10" t="str">
        <x:v>Time-window violation</x:v>
      </x:c>
      <x:c r="AA1" s="10" t="str">
        <x:v>Energy violation</x:v>
      </x:c>
      <x:c r="AB1" s="10" t="str">
        <x:v>Minimum battery</x:v>
      </x:c>
      <x:c r="AC1" s="10" t="str">
        <x:v>Station visits</x:v>
      </x:c>
      <x:c r="AD1" s="10" t="str">
        <x:v>Charging time</x:v>
      </x:c>
      <x:c r="AE1" s="10" t="str">
        <x:v>Waiting time</x:v>
      </x:c>
      <x:c r="AF1" s="10" t="str">
        <x:v>Destroy weights</x:v>
      </x:c>
      <x:c r="AG1" s="10" t="str">
        <x:v>Repair weights</x:v>
      </x:c>
      <x:c r="AH1" s="10" t="str">
        <x:v>Routes</x:v>
      </x:c>
    </x:row>
    <x:row r="2">
      <x:c r="A2" s="18" t="str">
        <x:v>results/week6/main_fixed1000/alns_vrptw_summary.csv</x:v>
      </x:c>
      <x:c r="B2" s="18" t="str">
        <x:v>ALNS_VRPTW</x:v>
      </x:c>
      <x:c r="C2" s="18" t="str">
        <x:v>ALNS_VRPTW</x:v>
      </x:c>
      <x:c r="D2" s="18" t="str">
        <x:v>c101C5</x:v>
      </x:c>
      <x:c r="E2" s="19" t="n">
        <x:v>64</x:v>
      </x:c>
      <x:c r="F2" s="18" t="str">
        <x:v>C</x:v>
      </x:c>
      <x:c r="G2" s="19" t="n">
        <x:v>5</x:v>
      </x:c>
      <x:c r="H2" s="18" t="n">
        <x:v>1</x:v>
      </x:c>
      <x:c r="I2" s="19" t="n">
        <x:v>2</x:v>
      </x:c>
      <x:c r="J2" s="20" t="n">
        <x:v>239.997575</x:v>
      </x:c>
      <x:c r="K2" s="20" t="n">
        <x:v>0.298197</x:v>
      </x:c>
      <x:c r="L2" s="19" t="n">
        <x:v>1000</x:v>
      </x:c>
      <x:c r="M2" s="19" t="n">
        <x:v>0</x:v>
      </x:c>
      <x:c r="N2" s="19" t="n">
        <x:v>1000</x:v>
      </x:c>
      <x:c r="O2" s="19" t="n">
        <x:v>0</x:v>
      </x:c>
      <x:c r="P2" s="19" t="n">
        <x:v>1000</x:v>
      </x:c>
      <x:c r="Q2" s="19" t="n">
        <x:v>0</x:v>
      </x:c>
      <x:c r="R2" s="21" t="n">
        <x:f>P2/L2</x:f>
        <x:v>1</x:v>
      </x:c>
      <x:c r="S2" s="18" t="str">
        <x:v>iteration_limit</x:v>
      </x:c>
      <x:c r="T2" s="22" t="b">
        <x:v>0</x:v>
      </x:c>
      <x:c r="U2" s="19" t="n">
        <x:v>0</x:v>
      </x:c>
      <x:c r="V2" s="19" t="n">
        <x:v>0</x:v>
      </x:c>
      <x:c r="W2" s="19" t="n">
        <x:v>0</x:v>
      </x:c>
      <x:c r="X2" s="22" t="b">
        <x:v>0</x:v>
      </x:c>
      <x:c r="Y2" s="20" t="n">
        <x:v>0</x:v>
      </x:c>
      <x:c r="Z2" s="20" t="n">
        <x:v>0</x:v>
      </x:c>
      <x:c r="AA2" s="20" t="n">
        <x:v>121.337976</x:v>
      </x:c>
      <x:c r="AB2" s="20" t="n">
        <x:v>-74.919266</x:v>
      </x:c>
      <x:c r="AC2" s="20" t="n">
        <x:v>0</x:v>
      </x:c>
      <x:c r="AD2" s="20" t="n">
        <x:v>0</x:v>
      </x:c>
      <x:c r="AE2" s="20" t="n">
        <x:v>1038.813428</x:v>
      </x:c>
      <x:c r="AF2" s="18" t="str">
        <x:v>{"random_removal": 0.011529215046068483, "related_removal": 0.011529215046068483, "worst_removal": 0.011529215046068483}</x:v>
      </x:c>
      <x:c r="AG2" s="18" t="str">
        <x:v>{"greedy_insertion": 0.011529215046068483, "regret_2_insertion": 0.011529215046068483}</x:v>
      </x:c>
      <x:c r="AH2" s="18" t="str">
        <x:v>[["D0", "C12", "C30", "C100", "D0"], ["D0", "C64", "C85", "D0"]]</x:v>
      </x:c>
    </x:row>
    <x:row r="3">
      <x:c r="A3" s="18" t="str">
        <x:v>results/week6/main_fixed1000/alns_vrptw_summary.csv</x:v>
      </x:c>
      <x:c r="B3" s="18" t="str">
        <x:v>ALNS_VRPTW</x:v>
      </x:c>
      <x:c r="C3" s="18" t="str">
        <x:v>ALNS_VRPTW</x:v>
      </x:c>
      <x:c r="D3" s="18" t="str">
        <x:v>c101C5</x:v>
      </x:c>
      <x:c r="E3" s="19" t="n">
        <x:v>65</x:v>
      </x:c>
      <x:c r="F3" s="18" t="str">
        <x:v>C</x:v>
      </x:c>
      <x:c r="G3" s="19" t="n">
        <x:v>5</x:v>
      </x:c>
      <x:c r="H3" s="18" t="n">
        <x:v>1</x:v>
      </x:c>
      <x:c r="I3" s="19" t="n">
        <x:v>2</x:v>
      </x:c>
      <x:c r="J3" s="20" t="n">
        <x:v>239.997575</x:v>
      </x:c>
      <x:c r="K3" s="20" t="n">
        <x:v>0.29874</x:v>
      </x:c>
      <x:c r="L3" s="19" t="n">
        <x:v>1000</x:v>
      </x:c>
      <x:c r="M3" s="19" t="n">
        <x:v>0</x:v>
      </x:c>
      <x:c r="N3" s="19" t="n">
        <x:v>1000</x:v>
      </x:c>
      <x:c r="O3" s="19" t="n">
        <x:v>0</x:v>
      </x:c>
      <x:c r="P3" s="19" t="n">
        <x:v>1000</x:v>
      </x:c>
      <x:c r="Q3" s="19" t="n">
        <x:v>0</x:v>
      </x:c>
      <x:c r="R3" s="21" t="n">
        <x:f>P3/L3</x:f>
        <x:v>1</x:v>
      </x:c>
      <x:c r="S3" s="18" t="str">
        <x:v>iteration_limit</x:v>
      </x:c>
      <x:c r="T3" s="22" t="b">
        <x:v>0</x:v>
      </x:c>
      <x:c r="U3" s="19" t="n">
        <x:v>0</x:v>
      </x:c>
      <x:c r="V3" s="19" t="n">
        <x:v>0</x:v>
      </x:c>
      <x:c r="W3" s="19" t="n">
        <x:v>0</x:v>
      </x:c>
      <x:c r="X3" s="22" t="b">
        <x:v>0</x:v>
      </x:c>
      <x:c r="Y3" s="20" t="n">
        <x:v>0</x:v>
      </x:c>
      <x:c r="Z3" s="20" t="n">
        <x:v>0</x:v>
      </x:c>
      <x:c r="AA3" s="20" t="n">
        <x:v>121.337976</x:v>
      </x:c>
      <x:c r="AB3" s="20" t="n">
        <x:v>-74.919266</x:v>
      </x:c>
      <x:c r="AC3" s="20" t="n">
        <x:v>0</x:v>
      </x:c>
      <x:c r="AD3" s="20" t="n">
        <x:v>0</x:v>
      </x:c>
      <x:c r="AE3" s="20" t="n">
        <x:v>1038.813428</x:v>
      </x:c>
      <x:c r="AF3" s="18" t="str">
        <x:v>{"random_removal": 0.011529215046068483, "related_removal": 0.011529215046068483, "worst_removal": 0.011529215046068483}</x:v>
      </x:c>
      <x:c r="AG3" s="18" t="str">
        <x:v>{"greedy_insertion": 0.011529215046068483, "regret_2_insertion": 0.011529215046068483}</x:v>
      </x:c>
      <x:c r="AH3" s="18" t="str">
        <x:v>[["D0", "C12", "C30", "C100", "D0"], ["D0", "C64", "C85", "D0"]]</x:v>
      </x:c>
    </x:row>
    <x:row r="4">
      <x:c r="A4" s="18" t="str">
        <x:v>results/week6/main_fixed1000/alns_vrptw_summary.csv</x:v>
      </x:c>
      <x:c r="B4" s="18" t="str">
        <x:v>ALNS_VRPTW</x:v>
      </x:c>
      <x:c r="C4" s="18" t="str">
        <x:v>ALNS_VRPTW</x:v>
      </x:c>
      <x:c r="D4" s="18" t="str">
        <x:v>c101C5</x:v>
      </x:c>
      <x:c r="E4" s="19" t="n">
        <x:v>66</x:v>
      </x:c>
      <x:c r="F4" s="18" t="str">
        <x:v>C</x:v>
      </x:c>
      <x:c r="G4" s="19" t="n">
        <x:v>5</x:v>
      </x:c>
      <x:c r="H4" s="18" t="n">
        <x:v>1</x:v>
      </x:c>
      <x:c r="I4" s="19" t="n">
        <x:v>2</x:v>
      </x:c>
      <x:c r="J4" s="20" t="n">
        <x:v>239.997575</x:v>
      </x:c>
      <x:c r="K4" s="20" t="n">
        <x:v>0.33532</x:v>
      </x:c>
      <x:c r="L4" s="19" t="n">
        <x:v>1000</x:v>
      </x:c>
      <x:c r="M4" s="19" t="n">
        <x:v>0</x:v>
      </x:c>
      <x:c r="N4" s="19" t="n">
        <x:v>1000</x:v>
      </x:c>
      <x:c r="O4" s="19" t="n">
        <x:v>0</x:v>
      </x:c>
      <x:c r="P4" s="19" t="n">
        <x:v>1000</x:v>
      </x:c>
      <x:c r="Q4" s="19" t="n">
        <x:v>0</x:v>
      </x:c>
      <x:c r="R4" s="21" t="n">
        <x:f>P4/L4</x:f>
        <x:v>1</x:v>
      </x:c>
      <x:c r="S4" s="18" t="str">
        <x:v>iteration_limit</x:v>
      </x:c>
      <x:c r="T4" s="22" t="b">
        <x:v>0</x:v>
      </x:c>
      <x:c r="U4" s="19" t="n">
        <x:v>0</x:v>
      </x:c>
      <x:c r="V4" s="19" t="n">
        <x:v>0</x:v>
      </x:c>
      <x:c r="W4" s="19" t="n">
        <x:v>0</x:v>
      </x:c>
      <x:c r="X4" s="22" t="b">
        <x:v>0</x:v>
      </x:c>
      <x:c r="Y4" s="20" t="n">
        <x:v>0</x:v>
      </x:c>
      <x:c r="Z4" s="20" t="n">
        <x:v>0</x:v>
      </x:c>
      <x:c r="AA4" s="20" t="n">
        <x:v>121.337976</x:v>
      </x:c>
      <x:c r="AB4" s="20" t="n">
        <x:v>-74.919266</x:v>
      </x:c>
      <x:c r="AC4" s="20" t="n">
        <x:v>0</x:v>
      </x:c>
      <x:c r="AD4" s="20" t="n">
        <x:v>0</x:v>
      </x:c>
      <x:c r="AE4" s="20" t="n">
        <x:v>1038.813428</x:v>
      </x:c>
      <x:c r="AF4" s="18" t="str">
        <x:v>{"random_removal": 0.011529215046068483, "related_removal": 0.011529215046068483, "worst_removal": 0.011529215046068483}</x:v>
      </x:c>
      <x:c r="AG4" s="18" t="str">
        <x:v>{"greedy_insertion": 0.011529215046068483, "regret_2_insertion": 0.011529215046068483}</x:v>
      </x:c>
      <x:c r="AH4" s="18" t="str">
        <x:v>[["D0", "C12", "C30", "C100", "D0"], ["D0", "C64", "C85", "D0"]]</x:v>
      </x:c>
    </x:row>
    <x:row r="5">
      <x:c r="A5" s="18" t="str">
        <x:v>results/week6/main_fixed1000/alns_vrptw_summary.csv</x:v>
      </x:c>
      <x:c r="B5" s="18" t="str">
        <x:v>ALNS_VRPTW</x:v>
      </x:c>
      <x:c r="C5" s="18" t="str">
        <x:v>ALNS_VRPTW</x:v>
      </x:c>
      <x:c r="D5" s="18" t="str">
        <x:v>c101C10</x:v>
      </x:c>
      <x:c r="E5" s="19" t="n">
        <x:v>64</x:v>
      </x:c>
      <x:c r="F5" s="18" t="str">
        <x:v>C</x:v>
      </x:c>
      <x:c r="G5" s="19" t="n">
        <x:v>10</x:v>
      </x:c>
      <x:c r="H5" s="18" t="n">
        <x:v>1</x:v>
      </x:c>
      <x:c r="I5" s="19" t="n">
        <x:v>3</x:v>
      </x:c>
      <x:c r="J5" s="20" t="n">
        <x:v>366.332249</x:v>
      </x:c>
      <x:c r="K5" s="20" t="n">
        <x:v>1.867968</x:v>
      </x:c>
      <x:c r="L5" s="19" t="n">
        <x:v>1000</x:v>
      </x:c>
      <x:c r="M5" s="19" t="n">
        <x:v>9</x:v>
      </x:c>
      <x:c r="N5" s="19" t="n">
        <x:v>946</x:v>
      </x:c>
      <x:c r="O5" s="19" t="n">
        <x:v>9</x:v>
      </x:c>
      <x:c r="P5" s="19" t="n">
        <x:v>928</x:v>
      </x:c>
      <x:c r="Q5" s="19" t="n">
        <x:v>9</x:v>
      </x:c>
      <x:c r="R5" s="21" t="n">
        <x:f>P5/L5</x:f>
        <x:v>0.928</x:v>
      </x:c>
      <x:c r="S5" s="18" t="str">
        <x:v>iteration_limit</x:v>
      </x:c>
      <x:c r="T5" s="22" t="b">
        <x:v>0</x:v>
      </x:c>
      <x:c r="U5" s="19" t="n">
        <x:v>0</x:v>
      </x:c>
      <x:c r="V5" s="19" t="n">
        <x:v>0</x:v>
      </x:c>
      <x:c r="W5" s="19" t="n">
        <x:v>0</x:v>
      </x:c>
      <x:c r="X5" s="22" t="b">
        <x:v>0</x:v>
      </x:c>
      <x:c r="Y5" s="20" t="n">
        <x:v>0</x:v>
      </x:c>
      <x:c r="Z5" s="20" t="n">
        <x:v>0</x:v>
      </x:c>
      <x:c r="AA5" s="20" t="n">
        <x:v>191.548497</x:v>
      </x:c>
      <x:c r="AB5" s="20" t="n">
        <x:v>-95.460373</x:v>
      </x:c>
      <x:c r="AC5" s="20" t="n">
        <x:v>0</x:v>
      </x:c>
      <x:c r="AD5" s="20" t="n">
        <x:v>0</x:v>
      </x:c>
      <x:c r="AE5" s="20" t="n">
        <x:v>1879.875155</x:v>
      </x:c>
      <x:c r="AF5" s="18" t="str">
        <x:v>{"random_removal": 0.014956586989302618, "related_removal": 0.018930220142341695, "worst_removal": 0.013559082666578024}</x:v>
      </x:c>
      <x:c r="AG5" s="18" t="str">
        <x:v>{"greedy_insertion": 0.015229388286654655, "regret_2_insertion": 0.01666024095827948}</x:v>
      </x:c>
      <x:c r="AH5" s="18" t="str">
        <x:v>[["D0", "C96", "C95", "C100", "C89", "D0"], ["D0", "C98", "C78", "C54", "D0"], ["D0", "C27", "C4", "C13", "D0"]]</x:v>
      </x:c>
    </x:row>
    <x:row r="6">
      <x:c r="A6" s="18" t="str">
        <x:v>results/week6/main_fixed1000/alns_vrptw_summary.csv</x:v>
      </x:c>
      <x:c r="B6" s="18" t="str">
        <x:v>ALNS_VRPTW</x:v>
      </x:c>
      <x:c r="C6" s="18" t="str">
        <x:v>ALNS_VRPTW</x:v>
      </x:c>
      <x:c r="D6" s="18" t="str">
        <x:v>c101C10</x:v>
      </x:c>
      <x:c r="E6" s="19" t="n">
        <x:v>65</x:v>
      </x:c>
      <x:c r="F6" s="18" t="str">
        <x:v>C</x:v>
      </x:c>
      <x:c r="G6" s="19" t="n">
        <x:v>10</x:v>
      </x:c>
      <x:c r="H6" s="18" t="n">
        <x:v>1</x:v>
      </x:c>
      <x:c r="I6" s="19" t="n">
        <x:v>3</x:v>
      </x:c>
      <x:c r="J6" s="20" t="n">
        <x:v>366.332249</x:v>
      </x:c>
      <x:c r="K6" s="20" t="n">
        <x:v>1.869061</x:v>
      </x:c>
      <x:c r="L6" s="19" t="n">
        <x:v>1000</x:v>
      </x:c>
      <x:c r="M6" s="19" t="n">
        <x:v>1</x:v>
      </x:c>
      <x:c r="N6" s="19" t="n">
        <x:v>935</x:v>
      </x:c>
      <x:c r="O6" s="19" t="n">
        <x:v>4</x:v>
      </x:c>
      <x:c r="P6" s="19" t="n">
        <x:v>927</x:v>
      </x:c>
      <x:c r="Q6" s="19" t="n">
        <x:v>4</x:v>
      </x:c>
      <x:c r="R6" s="21" t="n">
        <x:f>P6/L6</x:f>
        <x:v>0.927</x:v>
      </x:c>
      <x:c r="S6" s="18" t="str">
        <x:v>iteration_limit</x:v>
      </x:c>
      <x:c r="T6" s="22" t="b">
        <x:v>0</x:v>
      </x:c>
      <x:c r="U6" s="19" t="n">
        <x:v>0</x:v>
      </x:c>
      <x:c r="V6" s="19" t="n">
        <x:v>0</x:v>
      </x:c>
      <x:c r="W6" s="19" t="n">
        <x:v>0</x:v>
      </x:c>
      <x:c r="X6" s="22" t="b">
        <x:v>0</x:v>
      </x:c>
      <x:c r="Y6" s="20" t="n">
        <x:v>0</x:v>
      </x:c>
      <x:c r="Z6" s="20" t="n">
        <x:v>0</x:v>
      </x:c>
      <x:c r="AA6" s="20" t="n">
        <x:v>191.548497</x:v>
      </x:c>
      <x:c r="AB6" s="20" t="n">
        <x:v>-95.460373</x:v>
      </x:c>
      <x:c r="AC6" s="20" t="n">
        <x:v>0</x:v>
      </x:c>
      <x:c r="AD6" s="20" t="n">
        <x:v>0</x:v>
      </x:c>
      <x:c r="AE6" s="20" t="n">
        <x:v>1879.875155</x:v>
      </x:c>
      <x:c r="AF6" s="18" t="str">
        <x:v>{"random_removal": 0.011529215046068483, "related_removal": 0.012863614935659747, "worst_removal": 0.012970366926827043}</x:v>
      </x:c>
      <x:c r="AG6" s="18" t="str">
        <x:v>{"greedy_insertion": 0.01345785015742846, "regret_2_insertion": 0.012043912146339401}</x:v>
      </x:c>
      <x:c r="AH6" s="18" t="str">
        <x:v>[["D0", "C96", "C95", "C100", "C89", "D0"], ["D0", "C98", "C78", "C54", "D0"], ["D0", "C27", "C4", "C13", "D0"]]</x:v>
      </x:c>
    </x:row>
    <x:row r="7">
      <x:c r="A7" s="18" t="str">
        <x:v>results/week6/main_fixed1000/alns_vrptw_summary.csv</x:v>
      </x:c>
      <x:c r="B7" s="18" t="str">
        <x:v>ALNS_VRPTW</x:v>
      </x:c>
      <x:c r="C7" s="18" t="str">
        <x:v>ALNS_VRPTW</x:v>
      </x:c>
      <x:c r="D7" s="18" t="str">
        <x:v>c101C10</x:v>
      </x:c>
      <x:c r="E7" s="19" t="n">
        <x:v>66</x:v>
      </x:c>
      <x:c r="F7" s="18" t="str">
        <x:v>C</x:v>
      </x:c>
      <x:c r="G7" s="19" t="n">
        <x:v>10</x:v>
      </x:c>
      <x:c r="H7" s="18" t="n">
        <x:v>1</x:v>
      </x:c>
      <x:c r="I7" s="19" t="n">
        <x:v>3</x:v>
      </x:c>
      <x:c r="J7" s="20" t="n">
        <x:v>366.332249</x:v>
      </x:c>
      <x:c r="K7" s="20" t="n">
        <x:v>1.782986</x:v>
      </x:c>
      <x:c r="L7" s="19" t="n">
        <x:v>1000</x:v>
      </x:c>
      <x:c r="M7" s="19" t="n">
        <x:v>1</x:v>
      </x:c>
      <x:c r="N7" s="19" t="n">
        <x:v>936</x:v>
      </x:c>
      <x:c r="O7" s="19" t="n">
        <x:v>5</x:v>
      </x:c>
      <x:c r="P7" s="19" t="n">
        <x:v>927</x:v>
      </x:c>
      <x:c r="Q7" s="19" t="n">
        <x:v>4</x:v>
      </x:c>
      <x:c r="R7" s="21" t="n">
        <x:f>P7/L7</x:f>
        <x:v>0.927</x:v>
      </x:c>
      <x:c r="S7" s="18" t="str">
        <x:v>iteration_limit</x:v>
      </x:c>
      <x:c r="T7" s="22" t="b">
        <x:v>0</x:v>
      </x:c>
      <x:c r="U7" s="19" t="n">
        <x:v>0</x:v>
      </x:c>
      <x:c r="V7" s="19" t="n">
        <x:v>0</x:v>
      </x:c>
      <x:c r="W7" s="19" t="n">
        <x:v>0</x:v>
      </x:c>
      <x:c r="X7" s="22" t="b">
        <x:v>0</x:v>
      </x:c>
      <x:c r="Y7" s="20" t="n">
        <x:v>0</x:v>
      </x:c>
      <x:c r="Z7" s="20" t="n">
        <x:v>0</x:v>
      </x:c>
      <x:c r="AA7" s="20" t="n">
        <x:v>191.548497</x:v>
      </x:c>
      <x:c r="AB7" s="20" t="n">
        <x:v>-95.460373</x:v>
      </x:c>
      <x:c r="AC7" s="20" t="n">
        <x:v>0</x:v>
      </x:c>
      <x:c r="AD7" s="20" t="n">
        <x:v>0</x:v>
      </x:c>
      <x:c r="AE7" s="20" t="n">
        <x:v>1879.875155</x:v>
      </x:c>
      <x:c r="AF7" s="18" t="str">
        <x:v>{"random_removal": 0.01232985497982324, "related_removal": 0.016749199715751707, "worst_removal": 0.01264030048045265}</x:v>
      </x:c>
      <x:c r="AG7" s="18" t="str">
        <x:v>{"greedy_insertion": 0.014645216956891575, "regret_2_insertion": 0.013321897047877177}</x:v>
      </x:c>
      <x:c r="AH7" s="18" t="str">
        <x:v>[["D0", "C96", "C95", "C100", "C89", "D0"], ["D0", "C98", "C78", "C54", "D0"], ["D0", "C27", "C4", "C13", "D0"]]</x:v>
      </x:c>
    </x:row>
    <x:row r="8">
      <x:c r="A8" s="18" t="str">
        <x:v>results/week6/main_fixed1000/alns_vrptw_summary.csv</x:v>
      </x:c>
      <x:c r="B8" s="18" t="str">
        <x:v>ALNS_VRPTW</x:v>
      </x:c>
      <x:c r="C8" s="18" t="str">
        <x:v>ALNS_VRPTW</x:v>
      </x:c>
      <x:c r="D8" s="18" t="str">
        <x:v>c103C15</x:v>
      </x:c>
      <x:c r="E8" s="19" t="n">
        <x:v>64</x:v>
      </x:c>
      <x:c r="F8" s="18" t="str">
        <x:v>C</x:v>
      </x:c>
      <x:c r="G8" s="19" t="n">
        <x:v>15</x:v>
      </x:c>
      <x:c r="H8" s="18" t="n">
        <x:v>1</x:v>
      </x:c>
      <x:c r="I8" s="19" t="n">
        <x:v>2</x:v>
      </x:c>
      <x:c r="J8" s="20" t="n">
        <x:v>343.981611</x:v>
      </x:c>
      <x:c r="K8" s="20" t="n">
        <x:v>4.869535</x:v>
      </x:c>
      <x:c r="L8" s="19" t="n">
        <x:v>1000</x:v>
      </x:c>
      <x:c r="M8" s="19" t="n">
        <x:v>4</x:v>
      </x:c>
      <x:c r="N8" s="19" t="n">
        <x:v>960</x:v>
      </x:c>
      <x:c r="O8" s="19" t="n">
        <x:v>19</x:v>
      </x:c>
      <x:c r="P8" s="19" t="n">
        <x:v>927</x:v>
      </x:c>
      <x:c r="Q8" s="19" t="n">
        <x:v>14</x:v>
      </x:c>
      <x:c r="R8" s="21" t="n">
        <x:f>P8/L8</x:f>
        <x:v>0.927</x:v>
      </x:c>
      <x:c r="S8" s="18" t="str">
        <x:v>iteration_limit</x:v>
      </x:c>
      <x:c r="T8" s="22" t="b">
        <x:v>0</x:v>
      </x:c>
      <x:c r="U8" s="19" t="n">
        <x:v>0</x:v>
      </x:c>
      <x:c r="V8" s="19" t="n">
        <x:v>0</x:v>
      </x:c>
      <x:c r="W8" s="19" t="n">
        <x:v>0</x:v>
      </x:c>
      <x:c r="X8" s="22" t="b">
        <x:v>0</x:v>
      </x:c>
      <x:c r="Y8" s="20" t="n">
        <x:v>0</x:v>
      </x:c>
      <x:c r="Z8" s="20" t="n">
        <x:v>0</x:v>
      </x:c>
      <x:c r="AA8" s="20" t="n">
        <x:v>526.538787</x:v>
      </x:c>
      <x:c r="AB8" s="20" t="n">
        <x:v>-113.389432</x:v>
      </x:c>
      <x:c r="AC8" s="20" t="n">
        <x:v>0</x:v>
      </x:c>
      <x:c r="AD8" s="20" t="n">
        <x:v>0</x:v>
      </x:c>
      <x:c r="AE8" s="20" t="n">
        <x:v>561.184913</x:v>
      </x:c>
      <x:c r="AF8" s="18" t="str">
        <x:v>{"random_removal": 0.03867289006621694, "related_removal": 0.04891638230587119, "worst_removal": 0.01631315790810035}</x:v>
      </x:c>
      <x:c r="AG8" s="18" t="str">
        <x:v>{"greedy_insertion": 0.04357050105966963, "regret_2_insertion": 0.03017169050547357}</x:v>
      </x:c>
      <x:c r="AH8" s="18" t="str">
        <x:v>[["D0", "C59", "C40", "C44", "C33", "C35", "C50", "C61", "D0"], ["D0", "C85", "C95", "C98", "C19", "C18", "C30", "C10", "C13", "D0"]]</x:v>
      </x:c>
    </x:row>
    <x:row r="9">
      <x:c r="A9" s="18" t="str">
        <x:v>results/week6/main_fixed1000/alns_vrptw_summary.csv</x:v>
      </x:c>
      <x:c r="B9" s="18" t="str">
        <x:v>ALNS_VRPTW</x:v>
      </x:c>
      <x:c r="C9" s="18" t="str">
        <x:v>ALNS_VRPTW</x:v>
      </x:c>
      <x:c r="D9" s="18" t="str">
        <x:v>c103C15</x:v>
      </x:c>
      <x:c r="E9" s="19" t="n">
        <x:v>65</x:v>
      </x:c>
      <x:c r="F9" s="18" t="str">
        <x:v>C</x:v>
      </x:c>
      <x:c r="G9" s="19" t="n">
        <x:v>15</x:v>
      </x:c>
      <x:c r="H9" s="18" t="n">
        <x:v>1</x:v>
      </x:c>
      <x:c r="I9" s="19" t="n">
        <x:v>2</x:v>
      </x:c>
      <x:c r="J9" s="20" t="n">
        <x:v>343.981611</x:v>
      </x:c>
      <x:c r="K9" s="20" t="n">
        <x:v>4.95589</x:v>
      </x:c>
      <x:c r="L9" s="19" t="n">
        <x:v>1000</x:v>
      </x:c>
      <x:c r="M9" s="19" t="n">
        <x:v>7</x:v>
      </x:c>
      <x:c r="N9" s="19" t="n">
        <x:v>961</x:v>
      </x:c>
      <x:c r="O9" s="19" t="n">
        <x:v>22</x:v>
      </x:c>
      <x:c r="P9" s="19" t="n">
        <x:v>921</x:v>
      </x:c>
      <x:c r="Q9" s="19" t="n">
        <x:v>18</x:v>
      </x:c>
      <x:c r="R9" s="21" t="n">
        <x:f>P9/L9</x:f>
        <x:v>0.921</x:v>
      </x:c>
      <x:c r="S9" s="18" t="str">
        <x:v>iteration_limit</x:v>
      </x:c>
      <x:c r="T9" s="22" t="b">
        <x:v>0</x:v>
      </x:c>
      <x:c r="U9" s="19" t="n">
        <x:v>0</x:v>
      </x:c>
      <x:c r="V9" s="19" t="n">
        <x:v>0</x:v>
      </x:c>
      <x:c r="W9" s="19" t="n">
        <x:v>0</x:v>
      </x:c>
      <x:c r="X9" s="22" t="b">
        <x:v>0</x:v>
      </x:c>
      <x:c r="Y9" s="20" t="n">
        <x:v>0</x:v>
      </x:c>
      <x:c r="Z9" s="20" t="n">
        <x:v>0</x:v>
      </x:c>
      <x:c r="AA9" s="20" t="n">
        <x:v>526.538787</x:v>
      </x:c>
      <x:c r="AB9" s="20" t="n">
        <x:v>-113.389432</x:v>
      </x:c>
      <x:c r="AC9" s="20" t="n">
        <x:v>0</x:v>
      </x:c>
      <x:c r="AD9" s="20" t="n">
        <x:v>0</x:v>
      </x:c>
      <x:c r="AE9" s="20" t="n">
        <x:v>561.184913</x:v>
      </x:c>
      <x:c r="AF9" s="18" t="str">
        <x:v>{"random_removal": 0.053810311015518725, "related_removal": 0.02774013011094095, "worst_removal": 0.04161486482775459}</x:v>
      </x:c>
      <x:c r="AG9" s="18" t="str">
        <x:v>{"greedy_insertion": 0.03087813623966549, "regret_2_insertion": 0.05046659194531923}</x:v>
      </x:c>
      <x:c r="AH9" s="18" t="str">
        <x:v>[["D0", "C59", "C40", "C44", "C33", "C35", "C50", "C61", "D0"], ["D0", "C85", "C95", "C98", "C19", "C18", "C30", "C10", "C13", "D0"]]</x:v>
      </x:c>
    </x:row>
    <x:row r="10">
      <x:c r="A10" s="18" t="str">
        <x:v>results/week6/main_fixed1000/alns_vrptw_summary.csv</x:v>
      </x:c>
      <x:c r="B10" s="18" t="str">
        <x:v>ALNS_VRPTW</x:v>
      </x:c>
      <x:c r="C10" s="18" t="str">
        <x:v>ALNS_VRPTW</x:v>
      </x:c>
      <x:c r="D10" s="18" t="str">
        <x:v>c103C15</x:v>
      </x:c>
      <x:c r="E10" s="19" t="n">
        <x:v>66</x:v>
      </x:c>
      <x:c r="F10" s="18" t="str">
        <x:v>C</x:v>
      </x:c>
      <x:c r="G10" s="19" t="n">
        <x:v>15</x:v>
      </x:c>
      <x:c r="H10" s="18" t="n">
        <x:v>1</x:v>
      </x:c>
      <x:c r="I10" s="19" t="n">
        <x:v>2</x:v>
      </x:c>
      <x:c r="J10" s="20" t="n">
        <x:v>343.981611</x:v>
      </x:c>
      <x:c r="K10" s="20" t="n">
        <x:v>5.385696</x:v>
      </x:c>
      <x:c r="L10" s="19" t="n">
        <x:v>1000</x:v>
      </x:c>
      <x:c r="M10" s="19" t="n">
        <x:v>15</x:v>
      </x:c>
      <x:c r="N10" s="19" t="n">
        <x:v>964</x:v>
      </x:c>
      <x:c r="O10" s="19" t="n">
        <x:v>18</x:v>
      </x:c>
      <x:c r="P10" s="19" t="n">
        <x:v>932</x:v>
      </x:c>
      <x:c r="Q10" s="19" t="n">
        <x:v>14</x:v>
      </x:c>
      <x:c r="R10" s="21" t="n">
        <x:f>P10/L10</x:f>
        <x:v>0.932</x:v>
      </x:c>
      <x:c r="S10" s="18" t="str">
        <x:v>iteration_limit</x:v>
      </x:c>
      <x:c r="T10" s="22" t="b">
        <x:v>0</x:v>
      </x:c>
      <x:c r="U10" s="19" t="n">
        <x:v>0</x:v>
      </x:c>
      <x:c r="V10" s="19" t="n">
        <x:v>0</x:v>
      </x:c>
      <x:c r="W10" s="19" t="n">
        <x:v>0</x:v>
      </x:c>
      <x:c r="X10" s="22" t="b">
        <x:v>0</x:v>
      </x:c>
      <x:c r="Y10" s="20" t="n">
        <x:v>0</x:v>
      </x:c>
      <x:c r="Z10" s="20" t="n">
        <x:v>0</x:v>
      </x:c>
      <x:c r="AA10" s="20" t="n">
        <x:v>526.538787</x:v>
      </x:c>
      <x:c r="AB10" s="20" t="n">
        <x:v>-113.389432</x:v>
      </x:c>
      <x:c r="AC10" s="20" t="n">
        <x:v>0</x:v>
      </x:c>
      <x:c r="AD10" s="20" t="n">
        <x:v>0</x:v>
      </x:c>
      <x:c r="AE10" s="20" t="n">
        <x:v>561.184913</x:v>
      </x:c>
      <x:c r="AF10" s="18" t="str">
        <x:v>{"random_removal": 0.05332213945196118, "related_removal": 0.0240328700911494, "worst_removal": 0.020461917324487267}</x:v>
      </x:c>
      <x:c r="AG10" s="18" t="str">
        <x:v>{"greedy_insertion": 0.023993821660066732, "regret_2_insertion": 0.041907298455121436}</x:v>
      </x:c>
      <x:c r="AH10" s="18" t="str">
        <x:v>[["D0", "C59", "C40", "C44", "C33", "C35", "C50", "C61", "D0"], ["D0", "C85", "C95", "C98", "C19", "C18", "C30", "C10", "C13", "D0"]]</x:v>
      </x:c>
    </x:row>
    <x:row r="11">
      <x:c r="A11" s="18" t="str">
        <x:v>results/week6/main_fixed1000/alns_vrptw_summary.csv</x:v>
      </x:c>
      <x:c r="B11" s="18" t="str">
        <x:v>ALNS_VRPTW</x:v>
      </x:c>
      <x:c r="C11" s="18" t="str">
        <x:v>ALNS_VRPTW</x:v>
      </x:c>
      <x:c r="D11" s="18" t="str">
        <x:v>c206C5</x:v>
      </x:c>
      <x:c r="E11" s="19" t="n">
        <x:v>64</x:v>
      </x:c>
      <x:c r="F11" s="18" t="str">
        <x:v>C</x:v>
      </x:c>
      <x:c r="G11" s="19" t="n">
        <x:v>5</x:v>
      </x:c>
      <x:c r="H11" s="18" t="n">
        <x:v>1</x:v>
      </x:c>
      <x:c r="I11" s="19" t="n">
        <x:v>1</x:v>
      </x:c>
      <x:c r="J11" s="20" t="n">
        <x:v>236.508161</x:v>
      </x:c>
      <x:c r="K11" s="20" t="n">
        <x:v>0.300012</x:v>
      </x:c>
      <x:c r="L11" s="19" t="n">
        <x:v>1000</x:v>
      </x:c>
      <x:c r="M11" s="19" t="n">
        <x:v>0</x:v>
      </x:c>
      <x:c r="N11" s="19" t="n">
        <x:v>1000</x:v>
      </x:c>
      <x:c r="O11" s="19" t="n">
        <x:v>0</x:v>
      </x:c>
      <x:c r="P11" s="19" t="n">
        <x:v>1000</x:v>
      </x:c>
      <x:c r="Q11" s="19" t="n">
        <x:v>0</x:v>
      </x:c>
      <x:c r="R11" s="21" t="n">
        <x:f>P11/L11</x:f>
        <x:v>1</x:v>
      </x:c>
      <x:c r="S11" s="18" t="str">
        <x:v>iteration_limit</x:v>
      </x:c>
      <x:c r="T11" s="22" t="b">
        <x:v>0</x:v>
      </x:c>
      <x:c r="U11" s="19" t="n">
        <x:v>0</x:v>
      </x:c>
      <x:c r="V11" s="19" t="n">
        <x:v>0</x:v>
      </x:c>
      <x:c r="W11" s="19" t="n">
        <x:v>0</x:v>
      </x:c>
      <x:c r="X11" s="22" t="b">
        <x:v>0</x:v>
      </x:c>
      <x:c r="Y11" s="20" t="n">
        <x:v>0</x:v>
      </x:c>
      <x:c r="Z11" s="20" t="n">
        <x:v>0</x:v>
      </x:c>
      <x:c r="AA11" s="20" t="n">
        <x:v>336.485508</x:v>
      </x:c>
      <x:c r="AB11" s="20" t="n">
        <x:v>-158.758161</x:v>
      </x:c>
      <x:c r="AC11" s="20" t="n">
        <x:v>0</x:v>
      </x:c>
      <x:c r="AD11" s="20" t="n">
        <x:v>0</x:v>
      </x:c>
      <x:c r="AE11" s="20" t="n">
        <x:v>1395.570705</x:v>
      </x:c>
      <x:c r="AF11" s="18" t="str">
        <x:v>{"random_removal": 0.011529215046068483, "related_removal": 0.011529215046068483, "worst_removal": 0.011529215046068483}</x:v>
      </x:c>
      <x:c r="AG11" s="18" t="str">
        <x:v>{"greedy_insertion": 0.011529215046068483, "regret_2_insertion": 0.011529215046068483}</x:v>
      </x:c>
      <x:c r="AH11" s="18" t="str">
        <x:v>[["D0", "C75", "C44", "C53", "C77", "C35", "D0"]]</x:v>
      </x:c>
    </x:row>
    <x:row r="12">
      <x:c r="A12" s="18" t="str">
        <x:v>results/week6/main_fixed1000/alns_vrptw_summary.csv</x:v>
      </x:c>
      <x:c r="B12" s="18" t="str">
        <x:v>ALNS_VRPTW</x:v>
      </x:c>
      <x:c r="C12" s="18" t="str">
        <x:v>ALNS_VRPTW</x:v>
      </x:c>
      <x:c r="D12" s="18" t="str">
        <x:v>c206C5</x:v>
      </x:c>
      <x:c r="E12" s="19" t="n">
        <x:v>65</x:v>
      </x:c>
      <x:c r="F12" s="18" t="str">
        <x:v>C</x:v>
      </x:c>
      <x:c r="G12" s="19" t="n">
        <x:v>5</x:v>
      </x:c>
      <x:c r="H12" s="18" t="n">
        <x:v>1</x:v>
      </x:c>
      <x:c r="I12" s="19" t="n">
        <x:v>1</x:v>
      </x:c>
      <x:c r="J12" s="20" t="n">
        <x:v>236.508161</x:v>
      </x:c>
      <x:c r="K12" s="20" t="n">
        <x:v>0.282217</x:v>
      </x:c>
      <x:c r="L12" s="19" t="n">
        <x:v>1000</x:v>
      </x:c>
      <x:c r="M12" s="19" t="n">
        <x:v>0</x:v>
      </x:c>
      <x:c r="N12" s="19" t="n">
        <x:v>1000</x:v>
      </x:c>
      <x:c r="O12" s="19" t="n">
        <x:v>0</x:v>
      </x:c>
      <x:c r="P12" s="19" t="n">
        <x:v>1000</x:v>
      </x:c>
      <x:c r="Q12" s="19" t="n">
        <x:v>0</x:v>
      </x:c>
      <x:c r="R12" s="21" t="n">
        <x:f>P12/L12</x:f>
        <x:v>1</x:v>
      </x:c>
      <x:c r="S12" s="18" t="str">
        <x:v>iteration_limit</x:v>
      </x:c>
      <x:c r="T12" s="22" t="b">
        <x:v>0</x:v>
      </x:c>
      <x:c r="U12" s="19" t="n">
        <x:v>0</x:v>
      </x:c>
      <x:c r="V12" s="19" t="n">
        <x:v>0</x:v>
      </x:c>
      <x:c r="W12" s="19" t="n">
        <x:v>0</x:v>
      </x:c>
      <x:c r="X12" s="22" t="b">
        <x:v>0</x:v>
      </x:c>
      <x:c r="Y12" s="20" t="n">
        <x:v>0</x:v>
      </x:c>
      <x:c r="Z12" s="20" t="n">
        <x:v>0</x:v>
      </x:c>
      <x:c r="AA12" s="20" t="n">
        <x:v>336.485508</x:v>
      </x:c>
      <x:c r="AB12" s="20" t="n">
        <x:v>-158.758161</x:v>
      </x:c>
      <x:c r="AC12" s="20" t="n">
        <x:v>0</x:v>
      </x:c>
      <x:c r="AD12" s="20" t="n">
        <x:v>0</x:v>
      </x:c>
      <x:c r="AE12" s="20" t="n">
        <x:v>1395.570705</x:v>
      </x:c>
      <x:c r="AF12" s="18" t="str">
        <x:v>{"random_removal": 0.011529215046068483, "related_removal": 0.011529215046068483, "worst_removal": 0.011529215046068483}</x:v>
      </x:c>
      <x:c r="AG12" s="18" t="str">
        <x:v>{"greedy_insertion": 0.011529215046068483, "regret_2_insertion": 0.011529215046068483}</x:v>
      </x:c>
      <x:c r="AH12" s="18" t="str">
        <x:v>[["D0", "C75", "C44", "C53", "C77", "C35", "D0"]]</x:v>
      </x:c>
    </x:row>
    <x:row r="13">
      <x:c r="A13" s="18" t="str">
        <x:v>results/week6/main_fixed1000/alns_vrptw_summary.csv</x:v>
      </x:c>
      <x:c r="B13" s="18" t="str">
        <x:v>ALNS_VRPTW</x:v>
      </x:c>
      <x:c r="C13" s="18" t="str">
        <x:v>ALNS_VRPTW</x:v>
      </x:c>
      <x:c r="D13" s="18" t="str">
        <x:v>c206C5</x:v>
      </x:c>
      <x:c r="E13" s="19" t="n">
        <x:v>66</x:v>
      </x:c>
      <x:c r="F13" s="18" t="str">
        <x:v>C</x:v>
      </x:c>
      <x:c r="G13" s="19" t="n">
        <x:v>5</x:v>
      </x:c>
      <x:c r="H13" s="18" t="n">
        <x:v>1</x:v>
      </x:c>
      <x:c r="I13" s="19" t="n">
        <x:v>1</x:v>
      </x:c>
      <x:c r="J13" s="20" t="n">
        <x:v>236.508161</x:v>
      </x:c>
      <x:c r="K13" s="20" t="n">
        <x:v>0.293475</x:v>
      </x:c>
      <x:c r="L13" s="19" t="n">
        <x:v>1000</x:v>
      </x:c>
      <x:c r="M13" s="19" t="n">
        <x:v>0</x:v>
      </x:c>
      <x:c r="N13" s="19" t="n">
        <x:v>1000</x:v>
      </x:c>
      <x:c r="O13" s="19" t="n">
        <x:v>0</x:v>
      </x:c>
      <x:c r="P13" s="19" t="n">
        <x:v>1000</x:v>
      </x:c>
      <x:c r="Q13" s="19" t="n">
        <x:v>0</x:v>
      </x:c>
      <x:c r="R13" s="21" t="n">
        <x:f>P13/L13</x:f>
        <x:v>1</x:v>
      </x:c>
      <x:c r="S13" s="18" t="str">
        <x:v>iteration_limit</x:v>
      </x:c>
      <x:c r="T13" s="22" t="b">
        <x:v>0</x:v>
      </x:c>
      <x:c r="U13" s="19" t="n">
        <x:v>0</x:v>
      </x:c>
      <x:c r="V13" s="19" t="n">
        <x:v>0</x:v>
      </x:c>
      <x:c r="W13" s="19" t="n">
        <x:v>0</x:v>
      </x:c>
      <x:c r="X13" s="22" t="b">
        <x:v>0</x:v>
      </x:c>
      <x:c r="Y13" s="20" t="n">
        <x:v>0</x:v>
      </x:c>
      <x:c r="Z13" s="20" t="n">
        <x:v>0</x:v>
      </x:c>
      <x:c r="AA13" s="20" t="n">
        <x:v>336.485508</x:v>
      </x:c>
      <x:c r="AB13" s="20" t="n">
        <x:v>-158.758161</x:v>
      </x:c>
      <x:c r="AC13" s="20" t="n">
        <x:v>0</x:v>
      </x:c>
      <x:c r="AD13" s="20" t="n">
        <x:v>0</x:v>
      </x:c>
      <x:c r="AE13" s="20" t="n">
        <x:v>1395.570705</x:v>
      </x:c>
      <x:c r="AF13" s="18" t="str">
        <x:v>{"random_removal": 0.011529215046068483, "related_removal": 0.011529215046068483, "worst_removal": 0.011529215046068483}</x:v>
      </x:c>
      <x:c r="AG13" s="18" t="str">
        <x:v>{"greedy_insertion": 0.011529215046068483, "regret_2_insertion": 0.011529215046068483}</x:v>
      </x:c>
      <x:c r="AH13" s="18" t="str">
        <x:v>[["D0", "C75", "C44", "C53", "C77", "C35", "D0"]]</x:v>
      </x:c>
    </x:row>
    <x:row r="14">
      <x:c r="A14" s="18" t="str">
        <x:v>results/week6/main_fixed1000/alns_vrptw_summary.csv</x:v>
      </x:c>
      <x:c r="B14" s="18" t="str">
        <x:v>ALNS_VRPTW</x:v>
      </x:c>
      <x:c r="C14" s="18" t="str">
        <x:v>ALNS_VRPTW</x:v>
      </x:c>
      <x:c r="D14" s="18" t="str">
        <x:v>c202C10</x:v>
      </x:c>
      <x:c r="E14" s="19" t="n">
        <x:v>64</x:v>
      </x:c>
      <x:c r="F14" s="18" t="str">
        <x:v>C</x:v>
      </x:c>
      <x:c r="G14" s="19" t="n">
        <x:v>10</x:v>
      </x:c>
      <x:c r="H14" s="18" t="n">
        <x:v>1</x:v>
      </x:c>
      <x:c r="I14" s="19" t="n">
        <x:v>1</x:v>
      </x:c>
      <x:c r="J14" s="20" t="n">
        <x:v>282.440153</x:v>
      </x:c>
      <x:c r="K14" s="20" t="n">
        <x:v>1.221777</x:v>
      </x:c>
      <x:c r="L14" s="19" t="n">
        <x:v>1000</x:v>
      </x:c>
      <x:c r="M14" s="19" t="n">
        <x:v>2</x:v>
      </x:c>
      <x:c r="N14" s="19" t="n">
        <x:v>985</x:v>
      </x:c>
      <x:c r="O14" s="19" t="n">
        <x:v>1</x:v>
      </x:c>
      <x:c r="P14" s="19" t="n">
        <x:v>984</x:v>
      </x:c>
      <x:c r="Q14" s="19" t="n">
        <x:v>0</x:v>
      </x:c>
      <x:c r="R14" s="21" t="n">
        <x:f>P14/L14</x:f>
        <x:v>0.984</x:v>
      </x:c>
      <x:c r="S14" s="18" t="str">
        <x:v>iteration_limit</x:v>
      </x:c>
      <x:c r="T14" s="22" t="b">
        <x:v>0</x:v>
      </x:c>
      <x:c r="U14" s="19" t="n">
        <x:v>0</x:v>
      </x:c>
      <x:c r="V14" s="19" t="n">
        <x:v>0</x:v>
      </x:c>
      <x:c r="W14" s="19" t="n">
        <x:v>0</x:v>
      </x:c>
      <x:c r="X14" s="22" t="b">
        <x:v>0</x:v>
      </x:c>
      <x:c r="Y14" s="20" t="n">
        <x:v>0</x:v>
      </x:c>
      <x:c r="Z14" s="20" t="n">
        <x:v>0</x:v>
      </x:c>
      <x:c r="AA14" s="20" t="n">
        <x:v>1064.288667</x:v>
      </x:c>
      <x:c r="AB14" s="20" t="n">
        <x:v>-204.690153</x:v>
      </x:c>
      <x:c r="AC14" s="20" t="n">
        <x:v>0</x:v>
      </x:c>
      <x:c r="AD14" s="20" t="n">
        <x:v>0</x:v>
      </x:c>
      <x:c r="AE14" s="20" t="n">
        <x:v>1847.559847</x:v>
      </x:c>
      <x:c r="AF14" s="18" t="str">
        <x:v>{"random_removal": 0.012376951446514694, "related_removal": 0.011529215046068483, "worst_removal": 0.011529215046068483}</x:v>
      </x:c>
      <x:c r="AG14" s="18" t="str">
        <x:v>{"greedy_insertion": 0.011529215046068483, "regret_2_insertion": 0.012129694996384555}</x:v>
      </x:c>
      <x:c r="AH14" s="18" t="str">
        <x:v>[["D0", "C8", "C10", "C84", "C16", "C25", "C96", "C57", "C6", "C30", "C24", "D0"]]</x:v>
      </x:c>
    </x:row>
    <x:row r="15">
      <x:c r="A15" s="18" t="str">
        <x:v>results/week6/main_fixed1000/alns_vrptw_summary.csv</x:v>
      </x:c>
      <x:c r="B15" s="18" t="str">
        <x:v>ALNS_VRPTW</x:v>
      </x:c>
      <x:c r="C15" s="18" t="str">
        <x:v>ALNS_VRPTW</x:v>
      </x:c>
      <x:c r="D15" s="18" t="str">
        <x:v>c202C10</x:v>
      </x:c>
      <x:c r="E15" s="19" t="n">
        <x:v>65</x:v>
      </x:c>
      <x:c r="F15" s="18" t="str">
        <x:v>C</x:v>
      </x:c>
      <x:c r="G15" s="19" t="n">
        <x:v>10</x:v>
      </x:c>
      <x:c r="H15" s="18" t="n">
        <x:v>1</x:v>
      </x:c>
      <x:c r="I15" s="19" t="n">
        <x:v>1</x:v>
      </x:c>
      <x:c r="J15" s="20" t="n">
        <x:v>282.440153</x:v>
      </x:c>
      <x:c r="K15" s="20" t="n">
        <x:v>1.187904</x:v>
      </x:c>
      <x:c r="L15" s="19" t="n">
        <x:v>1000</x:v>
      </x:c>
      <x:c r="M15" s="19" t="n">
        <x:v>1</x:v>
      </x:c>
      <x:c r="N15" s="19" t="n">
        <x:v>974</x:v>
      </x:c>
      <x:c r="O15" s="19" t="n">
        <x:v>1</x:v>
      </x:c>
      <x:c r="P15" s="19" t="n">
        <x:v>973</x:v>
      </x:c>
      <x:c r="Q15" s="19" t="n">
        <x:v>0</x:v>
      </x:c>
      <x:c r="R15" s="21" t="n">
        <x:f>P15/L15</x:f>
        <x:v>0.973</x:v>
      </x:c>
      <x:c r="S15" s="18" t="str">
        <x:v>iteration_limit</x:v>
      </x:c>
      <x:c r="T15" s="22" t="b">
        <x:v>0</x:v>
      </x:c>
      <x:c r="U15" s="19" t="n">
        <x:v>0</x:v>
      </x:c>
      <x:c r="V15" s="19" t="n">
        <x:v>0</x:v>
      </x:c>
      <x:c r="W15" s="19" t="n">
        <x:v>0</x:v>
      </x:c>
      <x:c r="X15" s="22" t="b">
        <x:v>0</x:v>
      </x:c>
      <x:c r="Y15" s="20" t="n">
        <x:v>0</x:v>
      </x:c>
      <x:c r="Z15" s="20" t="n">
        <x:v>0</x:v>
      </x:c>
      <x:c r="AA15" s="20" t="n">
        <x:v>1064.288667</x:v>
      </x:c>
      <x:c r="AB15" s="20" t="n">
        <x:v>-204.690153</x:v>
      </x:c>
      <x:c r="AC15" s="20" t="n">
        <x:v>0</x:v>
      </x:c>
      <x:c r="AD15" s="20" t="n">
        <x:v>0</x:v>
      </x:c>
      <x:c r="AE15" s="20" t="n">
        <x:v>1847.559847</x:v>
      </x:c>
      <x:c r="AF15" s="18" t="str">
        <x:v>{"random_removal": 0.011529215046068483, "related_removal": 0.011529215046068483, "worst_removal": 0.012249790986447762}</x:v>
      </x:c>
      <x:c r="AG15" s="18" t="str">
        <x:v>{"greedy_insertion": 0.012129694996384555, "regret_2_insertion": 0.011529215046068483}</x:v>
      </x:c>
      <x:c r="AH15" s="18" t="str">
        <x:v>[["D0", "C8", "C10", "C84", "C16", "C25", "C96", "C57", "C6", "C30", "C24", "D0"]]</x:v>
      </x:c>
    </x:row>
    <x:row r="16">
      <x:c r="A16" s="18" t="str">
        <x:v>results/week6/main_fixed1000/alns_vrptw_summary.csv</x:v>
      </x:c>
      <x:c r="B16" s="18" t="str">
        <x:v>ALNS_VRPTW</x:v>
      </x:c>
      <x:c r="C16" s="18" t="str">
        <x:v>ALNS_VRPTW</x:v>
      </x:c>
      <x:c r="D16" s="18" t="str">
        <x:v>c202C10</x:v>
      </x:c>
      <x:c r="E16" s="19" t="n">
        <x:v>66</x:v>
      </x:c>
      <x:c r="F16" s="18" t="str">
        <x:v>C</x:v>
      </x:c>
      <x:c r="G16" s="19" t="n">
        <x:v>10</x:v>
      </x:c>
      <x:c r="H16" s="18" t="n">
        <x:v>1</x:v>
      </x:c>
      <x:c r="I16" s="19" t="n">
        <x:v>1</x:v>
      </x:c>
      <x:c r="J16" s="20" t="n">
        <x:v>282.440153</x:v>
      </x:c>
      <x:c r="K16" s="20" t="n">
        <x:v>1.253645</x:v>
      </x:c>
      <x:c r="L16" s="19" t="n">
        <x:v>1000</x:v>
      </x:c>
      <x:c r="M16" s="19" t="n">
        <x:v>1</x:v>
      </x:c>
      <x:c r="N16" s="19" t="n">
        <x:v>988</x:v>
      </x:c>
      <x:c r="O16" s="19" t="n">
        <x:v>1</x:v>
      </x:c>
      <x:c r="P16" s="19" t="n">
        <x:v>987</x:v>
      </x:c>
      <x:c r="Q16" s="19" t="n">
        <x:v>0</x:v>
      </x:c>
      <x:c r="R16" s="21" t="n">
        <x:f>P16/L16</x:f>
        <x:v>0.987</x:v>
      </x:c>
      <x:c r="S16" s="18" t="str">
        <x:v>iteration_limit</x:v>
      </x:c>
      <x:c r="T16" s="22" t="b">
        <x:v>0</x:v>
      </x:c>
      <x:c r="U16" s="19" t="n">
        <x:v>0</x:v>
      </x:c>
      <x:c r="V16" s="19" t="n">
        <x:v>0</x:v>
      </x:c>
      <x:c r="W16" s="19" t="n">
        <x:v>0</x:v>
      </x:c>
      <x:c r="X16" s="22" t="b">
        <x:v>0</x:v>
      </x:c>
      <x:c r="Y16" s="20" t="n">
        <x:v>0</x:v>
      </x:c>
      <x:c r="Z16" s="20" t="n">
        <x:v>0</x:v>
      </x:c>
      <x:c r="AA16" s="20" t="n">
        <x:v>1064.288667</x:v>
      </x:c>
      <x:c r="AB16" s="20" t="n">
        <x:v>-204.690153</x:v>
      </x:c>
      <x:c r="AC16" s="20" t="n">
        <x:v>0</x:v>
      </x:c>
      <x:c r="AD16" s="20" t="n">
        <x:v>0</x:v>
      </x:c>
      <x:c r="AE16" s="20" t="n">
        <x:v>1847.559847</x:v>
      </x:c>
      <x:c r="AF16" s="18" t="str">
        <x:v>{"random_removal": 0.012215477846429705, "related_removal": 0.011529215046068483, "worst_removal": 0.011529215046068483}</x:v>
      </x:c>
      <x:c r="AG16" s="18" t="str">
        <x:v>{"greedy_insertion": 0.012129694996384555, "regret_2_insertion": 0.011529215046068483}</x:v>
      </x:c>
      <x:c r="AH16" s="18" t="str">
        <x:v>[["D0", "C8", "C10", "C84", "C16", "C25", "C96", "C57", "C6", "C30", "C24", "D0"]]</x:v>
      </x:c>
    </x:row>
    <x:row r="17">
      <x:c r="A17" s="18" t="str">
        <x:v>results/week6/main_fixed1000/alns_vrptw_summary.csv</x:v>
      </x:c>
      <x:c r="B17" s="18" t="str">
        <x:v>ALNS_VRPTW</x:v>
      </x:c>
      <x:c r="C17" s="18" t="str">
        <x:v>ALNS_VRPTW</x:v>
      </x:c>
      <x:c r="D17" s="18" t="str">
        <x:v>c202C15</x:v>
      </x:c>
      <x:c r="E17" s="19" t="n">
        <x:v>64</x:v>
      </x:c>
      <x:c r="F17" s="18" t="str">
        <x:v>C</x:v>
      </x:c>
      <x:c r="G17" s="19" t="n">
        <x:v>15</x:v>
      </x:c>
      <x:c r="H17" s="18" t="n">
        <x:v>1</x:v>
      </x:c>
      <x:c r="I17" s="19" t="n">
        <x:v>1</x:v>
      </x:c>
      <x:c r="J17" s="20" t="n">
        <x:v>534.336415</x:v>
      </x:c>
      <x:c r="K17" s="20" t="n">
        <x:v>6.571761</x:v>
      </x:c>
      <x:c r="L17" s="19" t="n">
        <x:v>1000</x:v>
      </x:c>
      <x:c r="M17" s="19" t="n">
        <x:v>13</x:v>
      </x:c>
      <x:c r="N17" s="19" t="n">
        <x:v>685</x:v>
      </x:c>
      <x:c r="O17" s="19" t="n">
        <x:v>10</x:v>
      </x:c>
      <x:c r="P17" s="19" t="n">
        <x:v>669</x:v>
      </x:c>
      <x:c r="Q17" s="19" t="n">
        <x:v>6</x:v>
      </x:c>
      <x:c r="R17" s="21" t="n">
        <x:f>P17/L17</x:f>
        <x:v>0.669</x:v>
      </x:c>
      <x:c r="S17" s="18" t="str">
        <x:v>iteration_limit</x:v>
      </x:c>
      <x:c r="T17" s="22" t="b">
        <x:v>0</x:v>
      </x:c>
      <x:c r="U17" s="19" t="n">
        <x:v>0</x:v>
      </x:c>
      <x:c r="V17" s="19" t="n">
        <x:v>0</x:v>
      </x:c>
      <x:c r="W17" s="19" t="n">
        <x:v>0</x:v>
      </x:c>
      <x:c r="X17" s="22" t="b">
        <x:v>0</x:v>
      </x:c>
      <x:c r="Y17" s="20" t="n">
        <x:v>0</x:v>
      </x:c>
      <x:c r="Z17" s="20" t="n">
        <x:v>0</x:v>
      </x:c>
      <x:c r="AA17" s="20" t="n">
        <x:v>3242.285867</x:v>
      </x:c>
      <x:c r="AB17" s="20" t="n">
        <x:v>-456.586415</x:v>
      </x:c>
      <x:c r="AC17" s="20" t="n">
        <x:v>0</x:v>
      </x:c>
      <x:c r="AD17" s="20" t="n">
        <x:v>0</x:v>
      </x:c>
      <x:c r="AE17" s="20" t="n">
        <x:v>1054.780828</x:v>
      </x:c>
      <x:c r="AF17" s="18" t="str">
        <x:v>{"random_removal": 0.012877351405111412, "related_removal": 0.017661817592226105, "worst_removal": 0.013577280590896494}</x:v>
      </x:c>
      <x:c r="AG17" s="18" t="str">
        <x:v>{"greedy_insertion": 0.01365214549121683, "regret_2_insertion": 0.01595774351000754}</x:v>
      </x:c>
      <x:c r="AH17" s="18" t="str">
        <x:v>[["D0", "C43", "C10", "C3", "C82", "C87", "C51", "C76", "C99", "C17", "C23", "C63", "C73", "C58", "C41", "C27", "D0"]]</x:v>
      </x:c>
    </x:row>
    <x:row r="18">
      <x:c r="A18" s="18" t="str">
        <x:v>results/week6/main_fixed1000/alns_vrptw_summary.csv</x:v>
      </x:c>
      <x:c r="B18" s="18" t="str">
        <x:v>ALNS_VRPTW</x:v>
      </x:c>
      <x:c r="C18" s="18" t="str">
        <x:v>ALNS_VRPTW</x:v>
      </x:c>
      <x:c r="D18" s="18" t="str">
        <x:v>c202C15</x:v>
      </x:c>
      <x:c r="E18" s="19" t="n">
        <x:v>65</x:v>
      </x:c>
      <x:c r="F18" s="18" t="str">
        <x:v>C</x:v>
      </x:c>
      <x:c r="G18" s="19" t="n">
        <x:v>15</x:v>
      </x:c>
      <x:c r="H18" s="18" t="n">
        <x:v>1</x:v>
      </x:c>
      <x:c r="I18" s="19" t="n">
        <x:v>1</x:v>
      </x:c>
      <x:c r="J18" s="20" t="n">
        <x:v>534.336415</x:v>
      </x:c>
      <x:c r="K18" s="20" t="n">
        <x:v>6.425804</x:v>
      </x:c>
      <x:c r="L18" s="19" t="n">
        <x:v>1000</x:v>
      </x:c>
      <x:c r="M18" s="19" t="n">
        <x:v>9</x:v>
      </x:c>
      <x:c r="N18" s="19" t="n">
        <x:v>677</x:v>
      </x:c>
      <x:c r="O18" s="19" t="n">
        <x:v>5</x:v>
      </x:c>
      <x:c r="P18" s="19" t="n">
        <x:v>669</x:v>
      </x:c>
      <x:c r="Q18" s="19" t="n">
        <x:v>3</x:v>
      </x:c>
      <x:c r="R18" s="21" t="n">
        <x:f>P18/L18</x:f>
        <x:v>0.669</x:v>
      </x:c>
      <x:c r="S18" s="18" t="str">
        <x:v>iteration_limit</x:v>
      </x:c>
      <x:c r="T18" s="22" t="b">
        <x:v>0</x:v>
      </x:c>
      <x:c r="U18" s="19" t="n">
        <x:v>0</x:v>
      </x:c>
      <x:c r="V18" s="19" t="n">
        <x:v>0</x:v>
      </x:c>
      <x:c r="W18" s="19" t="n">
        <x:v>0</x:v>
      </x:c>
      <x:c r="X18" s="22" t="b">
        <x:v>0</x:v>
      </x:c>
      <x:c r="Y18" s="20" t="n">
        <x:v>0</x:v>
      </x:c>
      <x:c r="Z18" s="20" t="n">
        <x:v>0</x:v>
      </x:c>
      <x:c r="AA18" s="20" t="n">
        <x:v>3242.285867</x:v>
      </x:c>
      <x:c r="AB18" s="20" t="n">
        <x:v>-456.586415</x:v>
      </x:c>
      <x:c r="AC18" s="20" t="n">
        <x:v>0</x:v>
      </x:c>
      <x:c r="AD18" s="20" t="n">
        <x:v>0</x:v>
      </x:c>
      <x:c r="AE18" s="20" t="n">
        <x:v>1054.780828</x:v>
      </x:c>
      <x:c r="AF18" s="18" t="str">
        <x:v>{"random_removal": 0.013595049658422296, "related_removal": 0.014477383952135898, "worst_removal": 0.012194362067957046}</x:v>
      </x:c>
      <x:c r="AG18" s="18" t="str">
        <x:v>{"greedy_insertion": 0.012569682084979853, "regret_2_insertion": 0.013729725358264045}</x:v>
      </x:c>
      <x:c r="AH18" s="18" t="str">
        <x:v>[["D0", "C43", "C10", "C3", "C82", "C87", "C51", "C76", "C99", "C17", "C23", "C63", "C73", "C58", "C41", "C27", "D0"]]</x:v>
      </x:c>
    </x:row>
    <x:row r="19">
      <x:c r="A19" s="18" t="str">
        <x:v>results/week6/main_fixed1000/alns_vrptw_summary.csv</x:v>
      </x:c>
      <x:c r="B19" s="18" t="str">
        <x:v>ALNS_VRPTW</x:v>
      </x:c>
      <x:c r="C19" s="18" t="str">
        <x:v>ALNS_VRPTW</x:v>
      </x:c>
      <x:c r="D19" s="18" t="str">
        <x:v>c202C15</x:v>
      </x:c>
      <x:c r="E19" s="19" t="n">
        <x:v>66</x:v>
      </x:c>
      <x:c r="F19" s="18" t="str">
        <x:v>C</x:v>
      </x:c>
      <x:c r="G19" s="19" t="n">
        <x:v>15</x:v>
      </x:c>
      <x:c r="H19" s="18" t="n">
        <x:v>1</x:v>
      </x:c>
      <x:c r="I19" s="19" t="n">
        <x:v>1</x:v>
      </x:c>
      <x:c r="J19" s="20" t="n">
        <x:v>534.336415</x:v>
      </x:c>
      <x:c r="K19" s="20" t="n">
        <x:v>7.31147</x:v>
      </x:c>
      <x:c r="L19" s="19" t="n">
        <x:v>1000</x:v>
      </x:c>
      <x:c r="M19" s="19" t="n">
        <x:v>3</x:v>
      </x:c>
      <x:c r="N19" s="19" t="n">
        <x:v>665</x:v>
      </x:c>
      <x:c r="O19" s="19" t="n">
        <x:v>10</x:v>
      </x:c>
      <x:c r="P19" s="19" t="n">
        <x:v>647</x:v>
      </x:c>
      <x:c r="Q19" s="19" t="n">
        <x:v>8</x:v>
      </x:c>
      <x:c r="R19" s="21" t="n">
        <x:f>P19/L19</x:f>
        <x:v>0.647</x:v>
      </x:c>
      <x:c r="S19" s="18" t="str">
        <x:v>iteration_limit</x:v>
      </x:c>
      <x:c r="T19" s="22" t="b">
        <x:v>0</x:v>
      </x:c>
      <x:c r="U19" s="19" t="n">
        <x:v>0</x:v>
      </x:c>
      <x:c r="V19" s="19" t="n">
        <x:v>0</x:v>
      </x:c>
      <x:c r="W19" s="19" t="n">
        <x:v>0</x:v>
      </x:c>
      <x:c r="X19" s="22" t="b">
        <x:v>0</x:v>
      </x:c>
      <x:c r="Y19" s="20" t="n">
        <x:v>0</x:v>
      </x:c>
      <x:c r="Z19" s="20" t="n">
        <x:v>0</x:v>
      </x:c>
      <x:c r="AA19" s="20" t="n">
        <x:v>3242.285867</x:v>
      </x:c>
      <x:c r="AB19" s="20" t="n">
        <x:v>-456.586415</x:v>
      </x:c>
      <x:c r="AC19" s="20" t="n">
        <x:v>0</x:v>
      </x:c>
      <x:c r="AD19" s="20" t="n">
        <x:v>0</x:v>
      </x:c>
      <x:c r="AE19" s="20" t="n">
        <x:v>1054.780828</x:v>
      </x:c>
      <x:c r="AF19" s="18" t="str">
        <x:v>{"random_removal": 0.016033987485841946, "related_removal": 0.019236938158328616, "worst_removal": 0.013113089697626805}</x:v>
      </x:c>
      <x:c r="AG19" s="18" t="str">
        <x:v>{"greedy_insertion": 0.01577323828791732, "regret_2_insertion": 0.01707121199053884}</x:v>
      </x:c>
      <x:c r="AH19" s="18" t="str">
        <x:v>[["D0", "C43", "C10", "C3", "C82", "C87", "C51", "C76", "C99", "C17", "C23", "C63", "C73", "C58", "C41", "C27", "D0"]]</x:v>
      </x:c>
    </x:row>
    <x:row r="20">
      <x:c r="A20" s="18" t="str">
        <x:v>results/week6/main_fixed1000/alns_vrptw_summary.csv</x:v>
      </x:c>
      <x:c r="B20" s="18" t="str">
        <x:v>ALNS_VRPTW</x:v>
      </x:c>
      <x:c r="C20" s="18" t="str">
        <x:v>ALNS_VRPTW</x:v>
      </x:c>
      <x:c r="D20" s="18" t="str">
        <x:v>r105C5</x:v>
      </x:c>
      <x:c r="E20" s="19" t="n">
        <x:v>64</x:v>
      </x:c>
      <x:c r="F20" s="18" t="str">
        <x:v>R</x:v>
      </x:c>
      <x:c r="G20" s="19" t="n">
        <x:v>5</x:v>
      </x:c>
      <x:c r="H20" s="18" t="n">
        <x:v>1</x:v>
      </x:c>
      <x:c r="I20" s="19" t="n">
        <x:v>2</x:v>
      </x:c>
      <x:c r="J20" s="20" t="n">
        <x:v>151.148799</x:v>
      </x:c>
      <x:c r="K20" s="20" t="n">
        <x:v>0.375774</x:v>
      </x:c>
      <x:c r="L20" s="19" t="n">
        <x:v>1000</x:v>
      </x:c>
      <x:c r="M20" s="19" t="n">
        <x:v>1</x:v>
      </x:c>
      <x:c r="N20" s="19" t="n">
        <x:v>1000</x:v>
      </x:c>
      <x:c r="O20" s="19" t="n">
        <x:v>1</x:v>
      </x:c>
      <x:c r="P20" s="19" t="n">
        <x:v>999</x:v>
      </x:c>
      <x:c r="Q20" s="19" t="n">
        <x:v>0</x:v>
      </x:c>
      <x:c r="R20" s="21" t="n">
        <x:f>P20/L20</x:f>
        <x:v>0.999</x:v>
      </x:c>
      <x:c r="S20" s="18" t="str">
        <x:v>iteration_limit</x:v>
      </x:c>
      <x:c r="T20" s="22" t="b">
        <x:v>0</x:v>
      </x:c>
      <x:c r="U20" s="19" t="n">
        <x:v>0</x:v>
      </x:c>
      <x:c r="V20" s="19" t="n">
        <x:v>0</x:v>
      </x:c>
      <x:c r="W20" s="19" t="n">
        <x:v>0</x:v>
      </x:c>
      <x:c r="X20" s="22" t="b">
        <x:v>0</x:v>
      </x:c>
      <x:c r="Y20" s="20" t="n">
        <x:v>0</x:v>
      </x:c>
      <x:c r="Z20" s="20" t="n">
        <x:v>0</x:v>
      </x:c>
      <x:c r="AA20" s="20" t="n">
        <x:v>45.235912</x:v>
      </x:c>
      <x:c r="AB20" s="20" t="n">
        <x:v>-28.129795</x:v>
      </x:c>
      <x:c r="AC20" s="20" t="n">
        <x:v>0</x:v>
      </x:c>
      <x:c r="AD20" s="20" t="n">
        <x:v>0</x:v>
      </x:c>
      <x:c r="AE20" s="20" t="n">
        <x:v>163.041825</x:v>
      </x:c>
      <x:c r="AF20" s="18" t="str">
        <x:v>{"random_removal": 0.011529215046068483, "related_removal": 0.011529215046068483, "worst_removal": 0.01263779341588276}</x:v>
      </x:c>
      <x:c r="AG20" s="18" t="str">
        <x:v>{"greedy_insertion": 0.011529215046068483, "regret_2_insertion": 0.012083504230975617}</x:v>
      </x:c>
      <x:c r="AH20" s="18" t="str">
        <x:v>[["D0", "C75", "C91", "C95", "D0"], ["D0", "C78", "C28", "D0"]]</x:v>
      </x:c>
    </x:row>
    <x:row r="21">
      <x:c r="A21" s="18" t="str">
        <x:v>results/week6/main_fixed1000/alns_vrptw_summary.csv</x:v>
      </x:c>
      <x:c r="B21" s="18" t="str">
        <x:v>ALNS_VRPTW</x:v>
      </x:c>
      <x:c r="C21" s="18" t="str">
        <x:v>ALNS_VRPTW</x:v>
      </x:c>
      <x:c r="D21" s="18" t="str">
        <x:v>r105C5</x:v>
      </x:c>
      <x:c r="E21" s="19" t="n">
        <x:v>65</x:v>
      </x:c>
      <x:c r="F21" s="18" t="str">
        <x:v>R</x:v>
      </x:c>
      <x:c r="G21" s="19" t="n">
        <x:v>5</x:v>
      </x:c>
      <x:c r="H21" s="18" t="n">
        <x:v>1</x:v>
      </x:c>
      <x:c r="I21" s="19" t="n">
        <x:v>2</x:v>
      </x:c>
      <x:c r="J21" s="20" t="n">
        <x:v>151.148799</x:v>
      </x:c>
      <x:c r="K21" s="20" t="n">
        <x:v>0.426669</x:v>
      </x:c>
      <x:c r="L21" s="19" t="n">
        <x:v>1000</x:v>
      </x:c>
      <x:c r="M21" s="19" t="n">
        <x:v>1</x:v>
      </x:c>
      <x:c r="N21" s="19" t="n">
        <x:v>1000</x:v>
      </x:c>
      <x:c r="O21" s="19" t="n">
        <x:v>1</x:v>
      </x:c>
      <x:c r="P21" s="19" t="n">
        <x:v>999</x:v>
      </x:c>
      <x:c r="Q21" s="19" t="n">
        <x:v>0</x:v>
      </x:c>
      <x:c r="R21" s="21" t="n">
        <x:f>P21/L21</x:f>
        <x:v>0.999</x:v>
      </x:c>
      <x:c r="S21" s="18" t="str">
        <x:v>iteration_limit</x:v>
      </x:c>
      <x:c r="T21" s="22" t="b">
        <x:v>0</x:v>
      </x:c>
      <x:c r="U21" s="19" t="n">
        <x:v>0</x:v>
      </x:c>
      <x:c r="V21" s="19" t="n">
        <x:v>0</x:v>
      </x:c>
      <x:c r="W21" s="19" t="n">
        <x:v>0</x:v>
      </x:c>
      <x:c r="X21" s="22" t="b">
        <x:v>0</x:v>
      </x:c>
      <x:c r="Y21" s="20" t="n">
        <x:v>0</x:v>
      </x:c>
      <x:c r="Z21" s="20" t="n">
        <x:v>0</x:v>
      </x:c>
      <x:c r="AA21" s="20" t="n">
        <x:v>45.235912</x:v>
      </x:c>
      <x:c r="AB21" s="20" t="n">
        <x:v>-28.129795</x:v>
      </x:c>
      <x:c r="AC21" s="20" t="n">
        <x:v>0</x:v>
      </x:c>
      <x:c r="AD21" s="20" t="n">
        <x:v>0</x:v>
      </x:c>
      <x:c r="AE21" s="20" t="n">
        <x:v>163.041825</x:v>
      </x:c>
      <x:c r="AF21" s="18" t="str">
        <x:v>{"random_removal": 0.011529215046068483, "related_removal": 0.011529215046068483, "worst_removal": 0.012287716035941407}</x:v>
      </x:c>
      <x:c r="AG21" s="18" t="str">
        <x:v>{"greedy_insertion": 0.012184284082776914, "regret_2_insertion": 0.011529215046068483}</x:v>
      </x:c>
      <x:c r="AH21" s="18" t="str">
        <x:v>[["D0", "C75", "C91", "C95", "D0"], ["D0", "C78", "C28", "D0"]]</x:v>
      </x:c>
    </x:row>
    <x:row r="22">
      <x:c r="A22" s="18" t="str">
        <x:v>results/week6/main_fixed1000/alns_vrptw_summary.csv</x:v>
      </x:c>
      <x:c r="B22" s="18" t="str">
        <x:v>ALNS_VRPTW</x:v>
      </x:c>
      <x:c r="C22" s="18" t="str">
        <x:v>ALNS_VRPTW</x:v>
      </x:c>
      <x:c r="D22" s="18" t="str">
        <x:v>r105C5</x:v>
      </x:c>
      <x:c r="E22" s="19" t="n">
        <x:v>66</x:v>
      </x:c>
      <x:c r="F22" s="18" t="str">
        <x:v>R</x:v>
      </x:c>
      <x:c r="G22" s="19" t="n">
        <x:v>5</x:v>
      </x:c>
      <x:c r="H22" s="18" t="n">
        <x:v>1</x:v>
      </x:c>
      <x:c r="I22" s="19" t="n">
        <x:v>2</x:v>
      </x:c>
      <x:c r="J22" s="20" t="n">
        <x:v>151.148799</x:v>
      </x:c>
      <x:c r="K22" s="20" t="n">
        <x:v>0.38401</x:v>
      </x:c>
      <x:c r="L22" s="19" t="n">
        <x:v>1000</x:v>
      </x:c>
      <x:c r="M22" s="19" t="n">
        <x:v>4</x:v>
      </x:c>
      <x:c r="N22" s="19" t="n">
        <x:v>1000</x:v>
      </x:c>
      <x:c r="O22" s="19" t="n">
        <x:v>1</x:v>
      </x:c>
      <x:c r="P22" s="19" t="n">
        <x:v>999</x:v>
      </x:c>
      <x:c r="Q22" s="19" t="n">
        <x:v>0</x:v>
      </x:c>
      <x:c r="R22" s="21" t="n">
        <x:f>P22/L22</x:f>
        <x:v>0.999</x:v>
      </x:c>
      <x:c r="S22" s="18" t="str">
        <x:v>iteration_limit</x:v>
      </x:c>
      <x:c r="T22" s="22" t="b">
        <x:v>0</x:v>
      </x:c>
      <x:c r="U22" s="19" t="n">
        <x:v>0</x:v>
      </x:c>
      <x:c r="V22" s="19" t="n">
        <x:v>0</x:v>
      </x:c>
      <x:c r="W22" s="19" t="n">
        <x:v>0</x:v>
      </x:c>
      <x:c r="X22" s="22" t="b">
        <x:v>0</x:v>
      </x:c>
      <x:c r="Y22" s="20" t="n">
        <x:v>0</x:v>
      </x:c>
      <x:c r="Z22" s="20" t="n">
        <x:v>0</x:v>
      </x:c>
      <x:c r="AA22" s="20" t="n">
        <x:v>45.235912</x:v>
      </x:c>
      <x:c r="AB22" s="20" t="n">
        <x:v>-28.129795</x:v>
      </x:c>
      <x:c r="AC22" s="20" t="n">
        <x:v>0</x:v>
      </x:c>
      <x:c r="AD22" s="20" t="n">
        <x:v>0</x:v>
      </x:c>
      <x:c r="AE22" s="20" t="n">
        <x:v>163.041825</x:v>
      </x:c>
      <x:c r="AF22" s="18" t="str">
        <x:v>{"random_removal": 0.011529215046068483, "related_removal": 0.011529215046068483, "worst_removal": 0.012558609246610312}</x:v>
      </x:c>
      <x:c r="AG22" s="18" t="str">
        <x:v>{"greedy_insertion": 0.012249790986447762, "regret_2_insertion": 0.011529215046068483}</x:v>
      </x:c>
      <x:c r="AH22" s="18" t="str">
        <x:v>[["D0", "C75", "C91", "C95", "D0"], ["D0", "C78", "C28", "D0"]]</x:v>
      </x:c>
    </x:row>
    <x:row r="23">
      <x:c r="A23" s="18" t="str">
        <x:v>results/week6/main_fixed1000/alns_vrptw_summary.csv</x:v>
      </x:c>
      <x:c r="B23" s="18" t="str">
        <x:v>ALNS_VRPTW</x:v>
      </x:c>
      <x:c r="C23" s="18" t="str">
        <x:v>ALNS_VRPTW</x:v>
      </x:c>
      <x:c r="D23" s="18" t="str">
        <x:v>r103C10</x:v>
      </x:c>
      <x:c r="E23" s="19" t="n">
        <x:v>64</x:v>
      </x:c>
      <x:c r="F23" s="18" t="str">
        <x:v>R</x:v>
      </x:c>
      <x:c r="G23" s="19" t="n">
        <x:v>10</x:v>
      </x:c>
      <x:c r="H23" s="18" t="n">
        <x:v>1</x:v>
      </x:c>
      <x:c r="I23" s="19" t="n">
        <x:v>2</x:v>
      </x:c>
      <x:c r="J23" s="20" t="n">
        <x:v>188.66603</x:v>
      </x:c>
      <x:c r="K23" s="20" t="n">
        <x:v>1.792368</x:v>
      </x:c>
      <x:c r="L23" s="19" t="n">
        <x:v>1000</x:v>
      </x:c>
      <x:c r="M23" s="19" t="n">
        <x:v>1</x:v>
      </x:c>
      <x:c r="N23" s="19" t="n">
        <x:v>969</x:v>
      </x:c>
      <x:c r="O23" s="19" t="n">
        <x:v>2</x:v>
      </x:c>
      <x:c r="P23" s="19" t="n">
        <x:v>966</x:v>
      </x:c>
      <x:c r="Q23" s="19" t="n">
        <x:v>1</x:v>
      </x:c>
      <x:c r="R23" s="21" t="n">
        <x:f>P23/L23</x:f>
        <x:v>0.966</x:v>
      </x:c>
      <x:c r="S23" s="18" t="str">
        <x:v>iteration_limit</x:v>
      </x:c>
      <x:c r="T23" s="22" t="b">
        <x:v>0</x:v>
      </x:c>
      <x:c r="U23" s="19" t="n">
        <x:v>0</x:v>
      </x:c>
      <x:c r="V23" s="19" t="n">
        <x:v>0</x:v>
      </x:c>
      <x:c r="W23" s="19" t="n">
        <x:v>0</x:v>
      </x:c>
      <x:c r="X23" s="22" t="b">
        <x:v>0</x:v>
      </x:c>
      <x:c r="Y23" s="20" t="n">
        <x:v>0</x:v>
      </x:c>
      <x:c r="Z23" s="20" t="n">
        <x:v>0</x:v>
      </x:c>
      <x:c r="AA23" s="20" t="n">
        <x:v>108.971797</x:v>
      </x:c>
      <x:c r="AB23" s="20" t="n">
        <x:v>-60.332193</x:v>
      </x:c>
      <x:c r="AC23" s="20" t="n">
        <x:v>0</x:v>
      </x:c>
      <x:c r="AD23" s="20" t="n">
        <x:v>0</x:v>
      </x:c>
      <x:c r="AE23" s="20" t="n">
        <x:v>114.415171</x:v>
      </x:c>
      <x:c r="AF23" s="18" t="str">
        <x:v>{"random_removal": 0.012009599006321335, "related_removal": 0.011709359031163297, "worst_removal": 0.012429934971542581}</x:v>
      </x:c>
      <x:c r="AG23" s="18" t="str">
        <x:v>{"greedy_insertion": 0.01168091524404307, "regret_2_insertion": 0.01227303537162129}</x:v>
      </x:c>
      <x:c r="AH23" s="18" t="str">
        <x:v>[["D0", "C16", "C91", "C53", "C26", "C81", "D0"], ["D0", "C84", "C45", "C83", "C18", "C27", "D0"]]</x:v>
      </x:c>
    </x:row>
    <x:row r="24">
      <x:c r="A24" s="18" t="str">
        <x:v>results/week6/main_fixed1000/alns_vrptw_summary.csv</x:v>
      </x:c>
      <x:c r="B24" s="18" t="str">
        <x:v>ALNS_VRPTW</x:v>
      </x:c>
      <x:c r="C24" s="18" t="str">
        <x:v>ALNS_VRPTW</x:v>
      </x:c>
      <x:c r="D24" s="18" t="str">
        <x:v>r103C10</x:v>
      </x:c>
      <x:c r="E24" s="19" t="n">
        <x:v>65</x:v>
      </x:c>
      <x:c r="F24" s="18" t="str">
        <x:v>R</x:v>
      </x:c>
      <x:c r="G24" s="19" t="n">
        <x:v>10</x:v>
      </x:c>
      <x:c r="H24" s="18" t="n">
        <x:v>1</x:v>
      </x:c>
      <x:c r="I24" s="19" t="n">
        <x:v>2</x:v>
      </x:c>
      <x:c r="J24" s="20" t="n">
        <x:v>188.66603</x:v>
      </x:c>
      <x:c r="K24" s="20" t="n">
        <x:v>2.016664</x:v>
      </x:c>
      <x:c r="L24" s="19" t="n">
        <x:v>1000</x:v>
      </x:c>
      <x:c r="M24" s="19" t="n">
        <x:v>1</x:v>
      </x:c>
      <x:c r="N24" s="19" t="n">
        <x:v>974</x:v>
      </x:c>
      <x:c r="O24" s="19" t="n">
        <x:v>1</x:v>
      </x:c>
      <x:c r="P24" s="19" t="n">
        <x:v>973</x:v>
      </x:c>
      <x:c r="Q24" s="19" t="n">
        <x:v>0</x:v>
      </x:c>
      <x:c r="R24" s="21" t="n">
        <x:f>P24/L24</x:f>
        <x:v>0.973</x:v>
      </x:c>
      <x:c r="S24" s="18" t="str">
        <x:v>iteration_limit</x:v>
      </x:c>
      <x:c r="T24" s="22" t="b">
        <x:v>0</x:v>
      </x:c>
      <x:c r="U24" s="19" t="n">
        <x:v>0</x:v>
      </x:c>
      <x:c r="V24" s="19" t="n">
        <x:v>0</x:v>
      </x:c>
      <x:c r="W24" s="19" t="n">
        <x:v>0</x:v>
      </x:c>
      <x:c r="X24" s="22" t="b">
        <x:v>0</x:v>
      </x:c>
      <x:c r="Y24" s="20" t="n">
        <x:v>0</x:v>
      </x:c>
      <x:c r="Z24" s="20" t="n">
        <x:v>0</x:v>
      </x:c>
      <x:c r="AA24" s="20" t="n">
        <x:v>108.971797</x:v>
      </x:c>
      <x:c r="AB24" s="20" t="n">
        <x:v>-60.332193</x:v>
      </x:c>
      <x:c r="AC24" s="20" t="n">
        <x:v>0</x:v>
      </x:c>
      <x:c r="AD24" s="20" t="n">
        <x:v>0</x:v>
      </x:c>
      <x:c r="AE24" s="20" t="n">
        <x:v>114.415171</x:v>
      </x:c>
      <x:c r="AF24" s="18" t="str">
        <x:v>{"random_removal": 0.011529215046068483, "related_removal": 0.011529215046068483, "worst_removal": 0.012249790986447762}</x:v>
      </x:c>
      <x:c r="AG24" s="18" t="str">
        <x:v>{"greedy_insertion": 0.012129694996384555, "regret_2_insertion": 0.011529215046068483}</x:v>
      </x:c>
      <x:c r="AH24" s="18" t="str">
        <x:v>[["D0", "C16", "C91", "C53", "C26", "C81", "D0"], ["D0", "C84", "C45", "C83", "C18", "C27", "D0"]]</x:v>
      </x:c>
    </x:row>
    <x:row r="25">
      <x:c r="A25" s="18" t="str">
        <x:v>results/week6/main_fixed1000/alns_vrptw_summary.csv</x:v>
      </x:c>
      <x:c r="B25" s="18" t="str">
        <x:v>ALNS_VRPTW</x:v>
      </x:c>
      <x:c r="C25" s="18" t="str">
        <x:v>ALNS_VRPTW</x:v>
      </x:c>
      <x:c r="D25" s="18" t="str">
        <x:v>r103C10</x:v>
      </x:c>
      <x:c r="E25" s="19" t="n">
        <x:v>66</x:v>
      </x:c>
      <x:c r="F25" s="18" t="str">
        <x:v>R</x:v>
      </x:c>
      <x:c r="G25" s="19" t="n">
        <x:v>10</x:v>
      </x:c>
      <x:c r="H25" s="18" t="n">
        <x:v>1</x:v>
      </x:c>
      <x:c r="I25" s="19" t="n">
        <x:v>2</x:v>
      </x:c>
      <x:c r="J25" s="20" t="n">
        <x:v>188.66603</x:v>
      </x:c>
      <x:c r="K25" s="20" t="n">
        <x:v>1.779813</x:v>
      </x:c>
      <x:c r="L25" s="19" t="n">
        <x:v>1000</x:v>
      </x:c>
      <x:c r="M25" s="19" t="n">
        <x:v>1</x:v>
      </x:c>
      <x:c r="N25" s="19" t="n">
        <x:v>963</x:v>
      </x:c>
      <x:c r="O25" s="19" t="n">
        <x:v>3</x:v>
      </x:c>
      <x:c r="P25" s="19" t="n">
        <x:v>958</x:v>
      </x:c>
      <x:c r="Q25" s="19" t="n">
        <x:v>2</x:v>
      </x:c>
      <x:c r="R25" s="21" t="n">
        <x:f>P25/L25</x:f>
        <x:v>0.958</x:v>
      </x:c>
      <x:c r="S25" s="18" t="str">
        <x:v>iteration_limit</x:v>
      </x:c>
      <x:c r="T25" s="22" t="b">
        <x:v>0</x:v>
      </x:c>
      <x:c r="U25" s="19" t="n">
        <x:v>0</x:v>
      </x:c>
      <x:c r="V25" s="19" t="n">
        <x:v>0</x:v>
      </x:c>
      <x:c r="W25" s="19" t="n">
        <x:v>0</x:v>
      </x:c>
      <x:c r="X25" s="22" t="b">
        <x:v>0</x:v>
      </x:c>
      <x:c r="Y25" s="20" t="n">
        <x:v>0</x:v>
      </x:c>
      <x:c r="Z25" s="20" t="n">
        <x:v>0</x:v>
      </x:c>
      <x:c r="AA25" s="20" t="n">
        <x:v>108.971797</x:v>
      </x:c>
      <x:c r="AB25" s="20" t="n">
        <x:v>-60.332193</x:v>
      </x:c>
      <x:c r="AC25" s="20" t="n">
        <x:v>0</x:v>
      </x:c>
      <x:c r="AD25" s="20" t="n">
        <x:v>0</x:v>
      </x:c>
      <x:c r="AE25" s="20" t="n">
        <x:v>114.415171</x:v>
      </x:c>
      <x:c r="AF25" s="18" t="str">
        <x:v>{"random_removal": 0.01344151273399811, "related_removal": 0.011741149146180033, "worst_removal": 0.011529215046068483}</x:v>
      </x:c>
      <x:c r="AG25" s="18" t="str">
        <x:v>{"greedy_insertion": 0.012715617856995985, "regret_2_insertion": 0.011994680249791743}</x:v>
      </x:c>
      <x:c r="AH25" s="18" t="str">
        <x:v>[["D0", "C16", "C91", "C53", "C26", "C81", "D0"], ["D0", "C84", "C45", "C83", "C18", "C27", "D0"]]</x:v>
      </x:c>
    </x:row>
    <x:row r="26">
      <x:c r="A26" s="18" t="str">
        <x:v>results/week6/main_fixed1000/alns_vrptw_summary.csv</x:v>
      </x:c>
      <x:c r="B26" s="18" t="str">
        <x:v>ALNS_VRPTW</x:v>
      </x:c>
      <x:c r="C26" s="18" t="str">
        <x:v>ALNS_VRPTW</x:v>
      </x:c>
      <x:c r="D26" s="18" t="str">
        <x:v>r105C15</x:v>
      </x:c>
      <x:c r="E26" s="19" t="n">
        <x:v>64</x:v>
      </x:c>
      <x:c r="F26" s="18" t="str">
        <x:v>R</x:v>
      </x:c>
      <x:c r="G26" s="19" t="n">
        <x:v>15</x:v>
      </x:c>
      <x:c r="H26" s="18" t="n">
        <x:v>1</x:v>
      </x:c>
      <x:c r="I26" s="19" t="n">
        <x:v>3</x:v>
      </x:c>
      <x:c r="J26" s="20" t="n">
        <x:v>312.407542</x:v>
      </x:c>
      <x:c r="K26" s="20" t="n">
        <x:v>4.071671</x:v>
      </x:c>
      <x:c r="L26" s="19" t="n">
        <x:v>1000</x:v>
      </x:c>
      <x:c r="M26" s="19" t="n">
        <x:v>17</x:v>
      </x:c>
      <x:c r="N26" s="19" t="n">
        <x:v>982</x:v>
      </x:c>
      <x:c r="O26" s="19" t="n">
        <x:v>6</x:v>
      </x:c>
      <x:c r="P26" s="19" t="n">
        <x:v>976</x:v>
      </x:c>
      <x:c r="Q26" s="19" t="n">
        <x:v>0</x:v>
      </x:c>
      <x:c r="R26" s="21" t="n">
        <x:f>P26/L26</x:f>
        <x:v>0.976</x:v>
      </x:c>
      <x:c r="S26" s="18" t="str">
        <x:v>iteration_limit</x:v>
      </x:c>
      <x:c r="T26" s="22" t="b">
        <x:v>0</x:v>
      </x:c>
      <x:c r="U26" s="19" t="n">
        <x:v>0</x:v>
      </x:c>
      <x:c r="V26" s="19" t="n">
        <x:v>0</x:v>
      </x:c>
      <x:c r="W26" s="19" t="n">
        <x:v>0</x:v>
      </x:c>
      <x:c r="X26" s="22" t="b">
        <x:v>0</x:v>
      </x:c>
      <x:c r="Y26" s="20" t="n">
        <x:v>0</x:v>
      </x:c>
      <x:c r="Z26" s="20" t="n">
        <x:v>0</x:v>
      </x:c>
      <x:c r="AA26" s="20" t="n">
        <x:v>252.497275</x:v>
      </x:c>
      <x:c r="AB26" s="20" t="n">
        <x:v>-61.98378</x:v>
      </x:c>
      <x:c r="AC26" s="20" t="n">
        <x:v>0</x:v>
      </x:c>
      <x:c r="AD26" s="20" t="n">
        <x:v>0</x:v>
      </x:c>
      <x:c r="AE26" s="20" t="n">
        <x:v>147.16713</x:v>
      </x:c>
      <x:c r="AF26" s="18" t="str">
        <x:v>{"random_removal": 0.013588003447152143, "related_removal": 0.013046217025814334, "worst_removal": 0.013224687846960912}</x:v>
      </x:c>
      <x:c r="AG26" s="18" t="str">
        <x:v>{"greedy_insertion": 0.013690942867206327, "regret_2_insertion": 0.012970366926827043}</x:v>
      </x:c>
      <x:c r="AH26" s="18" t="str">
        <x:v>[["D0", "C70", "C9", "C29", "C50", "C69", "D0"], ["D0", "C56", "C23", "C25", "C28", "D0"], ["D0", "C8", "C17", "C85", "C95", "C5", "C57", "D0"]]</x:v>
      </x:c>
    </x:row>
    <x:row r="27">
      <x:c r="A27" s="18" t="str">
        <x:v>results/week6/main_fixed1000/alns_vrptw_summary.csv</x:v>
      </x:c>
      <x:c r="B27" s="18" t="str">
        <x:v>ALNS_VRPTW</x:v>
      </x:c>
      <x:c r="C27" s="18" t="str">
        <x:v>ALNS_VRPTW</x:v>
      </x:c>
      <x:c r="D27" s="18" t="str">
        <x:v>r105C15</x:v>
      </x:c>
      <x:c r="E27" s="19" t="n">
        <x:v>65</x:v>
      </x:c>
      <x:c r="F27" s="18" t="str">
        <x:v>R</x:v>
      </x:c>
      <x:c r="G27" s="19" t="n">
        <x:v>15</x:v>
      </x:c>
      <x:c r="H27" s="18" t="n">
        <x:v>1</x:v>
      </x:c>
      <x:c r="I27" s="19" t="n">
        <x:v>3</x:v>
      </x:c>
      <x:c r="J27" s="20" t="n">
        <x:v>312.407542</x:v>
      </x:c>
      <x:c r="K27" s="20" t="n">
        <x:v>4.177494</x:v>
      </x:c>
      <x:c r="L27" s="19" t="n">
        <x:v>1000</x:v>
      </x:c>
      <x:c r="M27" s="19" t="n">
        <x:v>7</x:v>
      </x:c>
      <x:c r="N27" s="19" t="n">
        <x:v>980</x:v>
      </x:c>
      <x:c r="O27" s="19" t="n">
        <x:v>3</x:v>
      </x:c>
      <x:c r="P27" s="19" t="n">
        <x:v>977</x:v>
      </x:c>
      <x:c r="Q27" s="19" t="n">
        <x:v>0</x:v>
      </x:c>
      <x:c r="R27" s="21" t="n">
        <x:f>P27/L27</x:f>
        <x:v>0.977</x:v>
      </x:c>
      <x:c r="S27" s="18" t="str">
        <x:v>iteration_limit</x:v>
      </x:c>
      <x:c r="T27" s="22" t="b">
        <x:v>0</x:v>
      </x:c>
      <x:c r="U27" s="19" t="n">
        <x:v>0</x:v>
      </x:c>
      <x:c r="V27" s="19" t="n">
        <x:v>0</x:v>
      </x:c>
      <x:c r="W27" s="19" t="n">
        <x:v>0</x:v>
      </x:c>
      <x:c r="X27" s="22" t="b">
        <x:v>0</x:v>
      </x:c>
      <x:c r="Y27" s="20" t="n">
        <x:v>0</x:v>
      </x:c>
      <x:c r="Z27" s="20" t="n">
        <x:v>0</x:v>
      </x:c>
      <x:c r="AA27" s="20" t="n">
        <x:v>252.497275</x:v>
      </x:c>
      <x:c r="AB27" s="20" t="n">
        <x:v>-61.98378</x:v>
      </x:c>
      <x:c r="AC27" s="20" t="n">
        <x:v>0</x:v>
      </x:c>
      <x:c r="AD27" s="20" t="n">
        <x:v>0</x:v>
      </x:c>
      <x:c r="AE27" s="20" t="n">
        <x:v>147.16713</x:v>
      </x:c>
      <x:c r="AF27" s="18" t="str">
        <x:v>{"random_removal": 0.012489982966574187, "related_removal": 0.012376951446514694, "worst_removal": 0.01232985497982324}</x:v>
      </x:c>
      <x:c r="AG27" s="18" t="str">
        <x:v>{"greedy_insertion": 0.012596734957741489, "regret_2_insertion": 0.012155802820311333}</x:v>
      </x:c>
      <x:c r="AH27" s="18" t="str">
        <x:v>[["D0", "C70", "C9", "C29", "C50", "C69", "D0"], ["D0", "C56", "C23", "C25", "C28", "D0"], ["D0", "C8", "C17", "C85", "C95", "C5", "C57", "D0"]]</x:v>
      </x:c>
    </x:row>
    <x:row r="28">
      <x:c r="A28" s="18" t="str">
        <x:v>results/week6/main_fixed1000/alns_vrptw_summary.csv</x:v>
      </x:c>
      <x:c r="B28" s="18" t="str">
        <x:v>ALNS_VRPTW</x:v>
      </x:c>
      <x:c r="C28" s="18" t="str">
        <x:v>ALNS_VRPTW</x:v>
      </x:c>
      <x:c r="D28" s="18" t="str">
        <x:v>r105C15</x:v>
      </x:c>
      <x:c r="E28" s="19" t="n">
        <x:v>66</x:v>
      </x:c>
      <x:c r="F28" s="18" t="str">
        <x:v>R</x:v>
      </x:c>
      <x:c r="G28" s="19" t="n">
        <x:v>15</x:v>
      </x:c>
      <x:c r="H28" s="18" t="n">
        <x:v>1</x:v>
      </x:c>
      <x:c r="I28" s="19" t="n">
        <x:v>3</x:v>
      </x:c>
      <x:c r="J28" s="20" t="n">
        <x:v>312.407542</x:v>
      </x:c>
      <x:c r="K28" s="20" t="n">
        <x:v>4.552739</x:v>
      </x:c>
      <x:c r="L28" s="19" t="n">
        <x:v>1000</x:v>
      </x:c>
      <x:c r="M28" s="19" t="n">
        <x:v>60</x:v>
      </x:c>
      <x:c r="N28" s="19" t="n">
        <x:v>985</x:v>
      </x:c>
      <x:c r="O28" s="19" t="n">
        <x:v>5</x:v>
      </x:c>
      <x:c r="P28" s="19" t="n">
        <x:v>978</x:v>
      </x:c>
      <x:c r="Q28" s="19" t="n">
        <x:v>2</x:v>
      </x:c>
      <x:c r="R28" s="21" t="n">
        <x:f>P28/L28</x:f>
        <x:v>0.978</x:v>
      </x:c>
      <x:c r="S28" s="18" t="str">
        <x:v>iteration_limit</x:v>
      </x:c>
      <x:c r="T28" s="22" t="b">
        <x:v>0</x:v>
      </x:c>
      <x:c r="U28" s="19" t="n">
        <x:v>0</x:v>
      </x:c>
      <x:c r="V28" s="19" t="n">
        <x:v>0</x:v>
      </x:c>
      <x:c r="W28" s="19" t="n">
        <x:v>0</x:v>
      </x:c>
      <x:c r="X28" s="22" t="b">
        <x:v>0</x:v>
      </x:c>
      <x:c r="Y28" s="20" t="n">
        <x:v>0</x:v>
      </x:c>
      <x:c r="Z28" s="20" t="n">
        <x:v>0</x:v>
      </x:c>
      <x:c r="AA28" s="20" t="n">
        <x:v>252.497275</x:v>
      </x:c>
      <x:c r="AB28" s="20" t="n">
        <x:v>-61.98378</x:v>
      </x:c>
      <x:c r="AC28" s="20" t="n">
        <x:v>0</x:v>
      </x:c>
      <x:c r="AD28" s="20" t="n">
        <x:v>0</x:v>
      </x:c>
      <x:c r="AE28" s="20" t="n">
        <x:v>147.16713</x:v>
      </x:c>
      <x:c r="AF28" s="18" t="str">
        <x:v>{"random_removal": 0.0166239543142542, "related_removal": 0.013288433650510082, "worst_removal": 0.012914938008336332}</x:v>
      </x:c>
      <x:c r="AG28" s="18" t="str">
        <x:v>{"greedy_insertion": 0.013274147987519296, "regret_2_insertion": 0.015250853944162463}</x:v>
      </x:c>
      <x:c r="AH28" s="18" t="str">
        <x:v>[["D0", "C70", "C9", "C29", "C50", "C69", "D0"], ["D0", "C56", "C23", "C25", "C28", "D0"], ["D0", "C8", "C17", "C85", "C95", "C5", "C57", "D0"]]</x:v>
      </x:c>
    </x:row>
    <x:row r="29">
      <x:c r="A29" s="18" t="str">
        <x:v>results/week6/main_fixed1000/alns_vrptw_summary.csv</x:v>
      </x:c>
      <x:c r="B29" s="18" t="str">
        <x:v>ALNS_VRPTW</x:v>
      </x:c>
      <x:c r="C29" s="18" t="str">
        <x:v>ALNS_VRPTW</x:v>
      </x:c>
      <x:c r="D29" s="18" t="str">
        <x:v>r202C5</x:v>
      </x:c>
      <x:c r="E29" s="19" t="n">
        <x:v>64</x:v>
      </x:c>
      <x:c r="F29" s="18" t="str">
        <x:v>R</x:v>
      </x:c>
      <x:c r="G29" s="19" t="n">
        <x:v>5</x:v>
      </x:c>
      <x:c r="H29" s="18" t="n">
        <x:v>1</x:v>
      </x:c>
      <x:c r="I29" s="19" t="n">
        <x:v>1</x:v>
      </x:c>
      <x:c r="J29" s="20" t="n">
        <x:v>140.535638</x:v>
      </x:c>
      <x:c r="K29" s="20" t="n">
        <x:v>0.328037</x:v>
      </x:c>
      <x:c r="L29" s="19" t="n">
        <x:v>1000</x:v>
      </x:c>
      <x:c r="M29" s="19" t="n">
        <x:v>0</x:v>
      </x:c>
      <x:c r="N29" s="19" t="n">
        <x:v>1000</x:v>
      </x:c>
      <x:c r="O29" s="19" t="n">
        <x:v>0</x:v>
      </x:c>
      <x:c r="P29" s="19" t="n">
        <x:v>1000</x:v>
      </x:c>
      <x:c r="Q29" s="19" t="n">
        <x:v>0</x:v>
      </x:c>
      <x:c r="R29" s="21" t="n">
        <x:f>P29/L29</x:f>
        <x:v>1</x:v>
      </x:c>
      <x:c r="S29" s="18" t="str">
        <x:v>iteration_limit</x:v>
      </x:c>
      <x:c r="T29" s="22" t="b">
        <x:v>0</x:v>
      </x:c>
      <x:c r="U29" s="19" t="n">
        <x:v>0</x:v>
      </x:c>
      <x:c r="V29" s="19" t="n">
        <x:v>0</x:v>
      </x:c>
      <x:c r="W29" s="19" t="n">
        <x:v>0</x:v>
      </x:c>
      <x:c r="X29" s="22" t="b">
        <x:v>0</x:v>
      </x:c>
      <x:c r="Y29" s="20" t="n">
        <x:v>0</x:v>
      </x:c>
      <x:c r="Z29" s="20" t="n">
        <x:v>0</x:v>
      </x:c>
      <x:c r="AA29" s="20" t="n">
        <x:v>201.899671</x:v>
      </x:c>
      <x:c r="AB29" s="20" t="n">
        <x:v>-79.905638</x:v>
      </x:c>
      <x:c r="AC29" s="20" t="n">
        <x:v>0</x:v>
      </x:c>
      <x:c r="AD29" s="20" t="n">
        <x:v>0</x:v>
      </x:c>
      <x:c r="AE29" s="20" t="n">
        <x:v>299.733079</x:v>
      </x:c>
      <x:c r="AF29" s="18" t="str">
        <x:v>{"random_removal": 0.011529215046068483, "related_removal": 0.011529215046068483, "worst_removal": 0.011529215046068483}</x:v>
      </x:c>
      <x:c r="AG29" s="18" t="str">
        <x:v>{"greedy_insertion": 0.011529215046068483, "regret_2_insertion": 0.011529215046068483}</x:v>
      </x:c>
      <x:c r="AH29" s="18" t="str">
        <x:v>[["D0", "C72", "C77", "C18", "C17", "C37", "D0"]]</x:v>
      </x:c>
    </x:row>
    <x:row r="30">
      <x:c r="A30" s="18" t="str">
        <x:v>results/week6/main_fixed1000/alns_vrptw_summary.csv</x:v>
      </x:c>
      <x:c r="B30" s="18" t="str">
        <x:v>ALNS_VRPTW</x:v>
      </x:c>
      <x:c r="C30" s="18" t="str">
        <x:v>ALNS_VRPTW</x:v>
      </x:c>
      <x:c r="D30" s="18" t="str">
        <x:v>r202C5</x:v>
      </x:c>
      <x:c r="E30" s="19" t="n">
        <x:v>65</x:v>
      </x:c>
      <x:c r="F30" s="18" t="str">
        <x:v>R</x:v>
      </x:c>
      <x:c r="G30" s="19" t="n">
        <x:v>5</x:v>
      </x:c>
      <x:c r="H30" s="18" t="n">
        <x:v>1</x:v>
      </x:c>
      <x:c r="I30" s="19" t="n">
        <x:v>1</x:v>
      </x:c>
      <x:c r="J30" s="20" t="n">
        <x:v>140.535638</x:v>
      </x:c>
      <x:c r="K30" s="20" t="n">
        <x:v>0.336509</x:v>
      </x:c>
      <x:c r="L30" s="19" t="n">
        <x:v>1000</x:v>
      </x:c>
      <x:c r="M30" s="19" t="n">
        <x:v>0</x:v>
      </x:c>
      <x:c r="N30" s="19" t="n">
        <x:v>1000</x:v>
      </x:c>
      <x:c r="O30" s="19" t="n">
        <x:v>0</x:v>
      </x:c>
      <x:c r="P30" s="19" t="n">
        <x:v>1000</x:v>
      </x:c>
      <x:c r="Q30" s="19" t="n">
        <x:v>0</x:v>
      </x:c>
      <x:c r="R30" s="21" t="n">
        <x:f>P30/L30</x:f>
        <x:v>1</x:v>
      </x:c>
      <x:c r="S30" s="18" t="str">
        <x:v>iteration_limit</x:v>
      </x:c>
      <x:c r="T30" s="22" t="b">
        <x:v>0</x:v>
      </x:c>
      <x:c r="U30" s="19" t="n">
        <x:v>0</x:v>
      </x:c>
      <x:c r="V30" s="19" t="n">
        <x:v>0</x:v>
      </x:c>
      <x:c r="W30" s="19" t="n">
        <x:v>0</x:v>
      </x:c>
      <x:c r="X30" s="22" t="b">
        <x:v>0</x:v>
      </x:c>
      <x:c r="Y30" s="20" t="n">
        <x:v>0</x:v>
      </x:c>
      <x:c r="Z30" s="20" t="n">
        <x:v>0</x:v>
      </x:c>
      <x:c r="AA30" s="20" t="n">
        <x:v>201.899671</x:v>
      </x:c>
      <x:c r="AB30" s="20" t="n">
        <x:v>-79.905638</x:v>
      </x:c>
      <x:c r="AC30" s="20" t="n">
        <x:v>0</x:v>
      </x:c>
      <x:c r="AD30" s="20" t="n">
        <x:v>0</x:v>
      </x:c>
      <x:c r="AE30" s="20" t="n">
        <x:v>299.733079</x:v>
      </x:c>
      <x:c r="AF30" s="18" t="str">
        <x:v>{"random_removal": 0.011529215046068483, "related_removal": 0.011529215046068483, "worst_removal": 0.011529215046068483}</x:v>
      </x:c>
      <x:c r="AG30" s="18" t="str">
        <x:v>{"greedy_insertion": 0.011529215046068483, "regret_2_insertion": 0.011529215046068483}</x:v>
      </x:c>
      <x:c r="AH30" s="18" t="str">
        <x:v>[["D0", "C72", "C77", "C18", "C17", "C37", "D0"]]</x:v>
      </x:c>
    </x:row>
    <x:row r="31">
      <x:c r="A31" s="18" t="str">
        <x:v>results/week6/main_fixed1000/alns_vrptw_summary.csv</x:v>
      </x:c>
      <x:c r="B31" s="18" t="str">
        <x:v>ALNS_VRPTW</x:v>
      </x:c>
      <x:c r="C31" s="18" t="str">
        <x:v>ALNS_VRPTW</x:v>
      </x:c>
      <x:c r="D31" s="18" t="str">
        <x:v>r202C5</x:v>
      </x:c>
      <x:c r="E31" s="19" t="n">
        <x:v>66</x:v>
      </x:c>
      <x:c r="F31" s="18" t="str">
        <x:v>R</x:v>
      </x:c>
      <x:c r="G31" s="19" t="n">
        <x:v>5</x:v>
      </x:c>
      <x:c r="H31" s="18" t="n">
        <x:v>1</x:v>
      </x:c>
      <x:c r="I31" s="19" t="n">
        <x:v>1</x:v>
      </x:c>
      <x:c r="J31" s="20" t="n">
        <x:v>140.535638</x:v>
      </x:c>
      <x:c r="K31" s="20" t="n">
        <x:v>0.331175</x:v>
      </x:c>
      <x:c r="L31" s="19" t="n">
        <x:v>1000</x:v>
      </x:c>
      <x:c r="M31" s="19" t="n">
        <x:v>0</x:v>
      </x:c>
      <x:c r="N31" s="19" t="n">
        <x:v>1000</x:v>
      </x:c>
      <x:c r="O31" s="19" t="n">
        <x:v>0</x:v>
      </x:c>
      <x:c r="P31" s="19" t="n">
        <x:v>1000</x:v>
      </x:c>
      <x:c r="Q31" s="19" t="n">
        <x:v>0</x:v>
      </x:c>
      <x:c r="R31" s="21" t="n">
        <x:f>P31/L31</x:f>
        <x:v>1</x:v>
      </x:c>
      <x:c r="S31" s="18" t="str">
        <x:v>iteration_limit</x:v>
      </x:c>
      <x:c r="T31" s="22" t="b">
        <x:v>0</x:v>
      </x:c>
      <x:c r="U31" s="19" t="n">
        <x:v>0</x:v>
      </x:c>
      <x:c r="V31" s="19" t="n">
        <x:v>0</x:v>
      </x:c>
      <x:c r="W31" s="19" t="n">
        <x:v>0</x:v>
      </x:c>
      <x:c r="X31" s="22" t="b">
        <x:v>0</x:v>
      </x:c>
      <x:c r="Y31" s="20" t="n">
        <x:v>0</x:v>
      </x:c>
      <x:c r="Z31" s="20" t="n">
        <x:v>0</x:v>
      </x:c>
      <x:c r="AA31" s="20" t="n">
        <x:v>201.899671</x:v>
      </x:c>
      <x:c r="AB31" s="20" t="n">
        <x:v>-79.905638</x:v>
      </x:c>
      <x:c r="AC31" s="20" t="n">
        <x:v>0</x:v>
      </x:c>
      <x:c r="AD31" s="20" t="n">
        <x:v>0</x:v>
      </x:c>
      <x:c r="AE31" s="20" t="n">
        <x:v>299.733079</x:v>
      </x:c>
      <x:c r="AF31" s="18" t="str">
        <x:v>{"random_removal": 0.011529215046068483, "related_removal": 0.011529215046068483, "worst_removal": 0.011529215046068483}</x:v>
      </x:c>
      <x:c r="AG31" s="18" t="str">
        <x:v>{"greedy_insertion": 0.011529215046068483, "regret_2_insertion": 0.011529215046068483}</x:v>
      </x:c>
      <x:c r="AH31" s="18" t="str">
        <x:v>[["D0", "C72", "C77", "C18", "C17", "C37", "D0"]]</x:v>
      </x:c>
    </x:row>
    <x:row r="32">
      <x:c r="A32" s="18" t="str">
        <x:v>results/week6/main_fixed1000/alns_vrptw_summary.csv</x:v>
      </x:c>
      <x:c r="B32" s="18" t="str">
        <x:v>ALNS_VRPTW</x:v>
      </x:c>
      <x:c r="C32" s="18" t="str">
        <x:v>ALNS_VRPTW</x:v>
      </x:c>
      <x:c r="D32" s="18" t="str">
        <x:v>r201C10</x:v>
      </x:c>
      <x:c r="E32" s="19" t="n">
        <x:v>64</x:v>
      </x:c>
      <x:c r="F32" s="18" t="str">
        <x:v>R</x:v>
      </x:c>
      <x:c r="G32" s="19" t="n">
        <x:v>10</x:v>
      </x:c>
      <x:c r="H32" s="18" t="n">
        <x:v>1</x:v>
      </x:c>
      <x:c r="I32" s="19" t="n">
        <x:v>1</x:v>
      </x:c>
      <x:c r="J32" s="20" t="n">
        <x:v>232.639282</x:v>
      </x:c>
      <x:c r="K32" s="20" t="n">
        <x:v>1.258229</x:v>
      </x:c>
      <x:c r="L32" s="19" t="n">
        <x:v>1000</x:v>
      </x:c>
      <x:c r="M32" s="19" t="n">
        <x:v>4</x:v>
      </x:c>
      <x:c r="N32" s="19" t="n">
        <x:v>995</x:v>
      </x:c>
      <x:c r="O32" s="19" t="n">
        <x:v>1</x:v>
      </x:c>
      <x:c r="P32" s="19" t="n">
        <x:v>994</x:v>
      </x:c>
      <x:c r="Q32" s="19" t="n">
        <x:v>0</x:v>
      </x:c>
      <x:c r="R32" s="21" t="n">
        <x:f>P32/L32</x:f>
        <x:v>0.994</x:v>
      </x:c>
      <x:c r="S32" s="18" t="str">
        <x:v>iteration_limit</x:v>
      </x:c>
      <x:c r="T32" s="22" t="b">
        <x:v>0</x:v>
      </x:c>
      <x:c r="U32" s="19" t="n">
        <x:v>0</x:v>
      </x:c>
      <x:c r="V32" s="19" t="n">
        <x:v>0</x:v>
      </x:c>
      <x:c r="W32" s="19" t="n">
        <x:v>0</x:v>
      </x:c>
      <x:c r="X32" s="22" t="b">
        <x:v>0</x:v>
      </x:c>
      <x:c r="Y32" s="20" t="n">
        <x:v>0</x:v>
      </x:c>
      <x:c r="Z32" s="20" t="n">
        <x:v>0</x:v>
      </x:c>
      <x:c r="AA32" s="20" t="n">
        <x:v>834.636954</x:v>
      </x:c>
      <x:c r="AB32" s="20" t="n">
        <x:v>-172.009282</x:v>
      </x:c>
      <x:c r="AC32" s="20" t="n">
        <x:v>0</x:v>
      </x:c>
      <x:c r="AD32" s="20" t="n">
        <x:v>0</x:v>
      </x:c>
      <x:c r="AE32" s="20" t="n">
        <x:v>330.349144</x:v>
      </x:c>
      <x:c r="AF32" s="18" t="str">
        <x:v>{"random_removal": 0.011529215046068483, "related_removal": 0.011529215046068483, "worst_removal": 0.012429934971542581}</x:v>
      </x:c>
      <x:c r="AG32" s="18" t="str">
        <x:v>{"greedy_insertion": 0.011529215046068483, "regret_2_insertion": 0.011994102749538983}</x:v>
      </x:c>
      <x:c r="AH32" s="18" t="str">
        <x:v>[["D0", "C100", "C72", "C77", "C28", "C18", "C84", "C94", "C50", "C32", "C31", "D0"]]</x:v>
      </x:c>
    </x:row>
    <x:row r="33">
      <x:c r="A33" s="18" t="str">
        <x:v>results/week6/main_fixed1000/alns_vrptw_summary.csv</x:v>
      </x:c>
      <x:c r="B33" s="18" t="str">
        <x:v>ALNS_VRPTW</x:v>
      </x:c>
      <x:c r="C33" s="18" t="str">
        <x:v>ALNS_VRPTW</x:v>
      </x:c>
      <x:c r="D33" s="18" t="str">
        <x:v>r201C10</x:v>
      </x:c>
      <x:c r="E33" s="19" t="n">
        <x:v>65</x:v>
      </x:c>
      <x:c r="F33" s="18" t="str">
        <x:v>R</x:v>
      </x:c>
      <x:c r="G33" s="19" t="n">
        <x:v>10</x:v>
      </x:c>
      <x:c r="H33" s="18" t="n">
        <x:v>1</x:v>
      </x:c>
      <x:c r="I33" s="19" t="n">
        <x:v>1</x:v>
      </x:c>
      <x:c r="J33" s="20" t="n">
        <x:v>232.639282</x:v>
      </x:c>
      <x:c r="K33" s="20" t="n">
        <x:v>1.267645</x:v>
      </x:c>
      <x:c r="L33" s="19" t="n">
        <x:v>1000</x:v>
      </x:c>
      <x:c r="M33" s="19" t="n">
        <x:v>1</x:v>
      </x:c>
      <x:c r="N33" s="19" t="n">
        <x:v>996</x:v>
      </x:c>
      <x:c r="O33" s="19" t="n">
        <x:v>1</x:v>
      </x:c>
      <x:c r="P33" s="19" t="n">
        <x:v>995</x:v>
      </x:c>
      <x:c r="Q33" s="19" t="n">
        <x:v>0</x:v>
      </x:c>
      <x:c r="R33" s="21" t="n">
        <x:f>P33/L33</x:f>
        <x:v>0.995</x:v>
      </x:c>
      <x:c r="S33" s="18" t="str">
        <x:v>iteration_limit</x:v>
      </x:c>
      <x:c r="T33" s="22" t="b">
        <x:v>0</x:v>
      </x:c>
      <x:c r="U33" s="19" t="n">
        <x:v>0</x:v>
      </x:c>
      <x:c r="V33" s="19" t="n">
        <x:v>0</x:v>
      </x:c>
      <x:c r="W33" s="19" t="n">
        <x:v>0</x:v>
      </x:c>
      <x:c r="X33" s="22" t="b">
        <x:v>0</x:v>
      </x:c>
      <x:c r="Y33" s="20" t="n">
        <x:v>0</x:v>
      </x:c>
      <x:c r="Z33" s="20" t="n">
        <x:v>0</x:v>
      </x:c>
      <x:c r="AA33" s="20" t="n">
        <x:v>834.636954</x:v>
      </x:c>
      <x:c r="AB33" s="20" t="n">
        <x:v>-172.009282</x:v>
      </x:c>
      <x:c r="AC33" s="20" t="n">
        <x:v>0</x:v>
      </x:c>
      <x:c r="AD33" s="20" t="n">
        <x:v>0</x:v>
      </x:c>
      <x:c r="AE33" s="20" t="n">
        <x:v>330.349144</x:v>
      </x:c>
      <x:c r="AF33" s="18" t="str">
        <x:v>{"random_removal": 0.011529215046068483, "related_removal": 0.011529215046068483, "worst_removal": 0.012249790986447762}</x:v>
      </x:c>
      <x:c r="AG33" s="18" t="str">
        <x:v>{"greedy_insertion": 0.012129694996384555, "regret_2_insertion": 0.011529215046068483}</x:v>
      </x:c>
      <x:c r="AH33" s="18" t="str">
        <x:v>[["D0", "C100", "C72", "C77", "C28", "C18", "C84", "C94", "C50", "C32", "C31", "D0"]]</x:v>
      </x:c>
    </x:row>
    <x:row r="34">
      <x:c r="A34" s="18" t="str">
        <x:v>results/week6/main_fixed1000/alns_vrptw_summary.csv</x:v>
      </x:c>
      <x:c r="B34" s="18" t="str">
        <x:v>ALNS_VRPTW</x:v>
      </x:c>
      <x:c r="C34" s="18" t="str">
        <x:v>ALNS_VRPTW</x:v>
      </x:c>
      <x:c r="D34" s="18" t="str">
        <x:v>r201C10</x:v>
      </x:c>
      <x:c r="E34" s="19" t="n">
        <x:v>66</x:v>
      </x:c>
      <x:c r="F34" s="18" t="str">
        <x:v>R</x:v>
      </x:c>
      <x:c r="G34" s="19" t="n">
        <x:v>10</x:v>
      </x:c>
      <x:c r="H34" s="18" t="n">
        <x:v>1</x:v>
      </x:c>
      <x:c r="I34" s="19" t="n">
        <x:v>1</x:v>
      </x:c>
      <x:c r="J34" s="20" t="n">
        <x:v>232.639282</x:v>
      </x:c>
      <x:c r="K34" s="20" t="n">
        <x:v>1.698388</x:v>
      </x:c>
      <x:c r="L34" s="19" t="n">
        <x:v>1000</x:v>
      </x:c>
      <x:c r="M34" s="19" t="n">
        <x:v>1</x:v>
      </x:c>
      <x:c r="N34" s="19" t="n">
        <x:v>997</x:v>
      </x:c>
      <x:c r="O34" s="19" t="n">
        <x:v>1</x:v>
      </x:c>
      <x:c r="P34" s="19" t="n">
        <x:v>996</x:v>
      </x:c>
      <x:c r="Q34" s="19" t="n">
        <x:v>0</x:v>
      </x:c>
      <x:c r="R34" s="21" t="n">
        <x:f>P34/L34</x:f>
        <x:v>0.996</x:v>
      </x:c>
      <x:c r="S34" s="18" t="str">
        <x:v>iteration_limit</x:v>
      </x:c>
      <x:c r="T34" s="22" t="b">
        <x:v>0</x:v>
      </x:c>
      <x:c r="U34" s="19" t="n">
        <x:v>0</x:v>
      </x:c>
      <x:c r="V34" s="19" t="n">
        <x:v>0</x:v>
      </x:c>
      <x:c r="W34" s="19" t="n">
        <x:v>0</x:v>
      </x:c>
      <x:c r="X34" s="22" t="b">
        <x:v>0</x:v>
      </x:c>
      <x:c r="Y34" s="20" t="n">
        <x:v>0</x:v>
      </x:c>
      <x:c r="Z34" s="20" t="n">
        <x:v>0</x:v>
      </x:c>
      <x:c r="AA34" s="20" t="n">
        <x:v>834.636954</x:v>
      </x:c>
      <x:c r="AB34" s="20" t="n">
        <x:v>-172.009282</x:v>
      </x:c>
      <x:c r="AC34" s="20" t="n">
        <x:v>0</x:v>
      </x:c>
      <x:c r="AD34" s="20" t="n">
        <x:v>0</x:v>
      </x:c>
      <x:c r="AE34" s="20" t="n">
        <x:v>330.349144</x:v>
      </x:c>
      <x:c r="AF34" s="18" t="str">
        <x:v>{"random_removal": 0.012215477846429705, "related_removal": 0.011529215046068483, "worst_removal": 0.011529215046068483}</x:v>
      </x:c>
      <x:c r="AG34" s="18" t="str">
        <x:v>{"greedy_insertion": 0.012129694996384555, "regret_2_insertion": 0.011529215046068483}</x:v>
      </x:c>
      <x:c r="AH34" s="18" t="str">
        <x:v>[["D0", "C100", "C72", "C77", "C28", "C18", "C84", "C94", "C50", "C32", "C31", "D0"]]</x:v>
      </x:c>
    </x:row>
    <x:row r="35">
      <x:c r="A35" s="18" t="str">
        <x:v>results/week6/main_fixed1000/alns_vrptw_summary.csv</x:v>
      </x:c>
      <x:c r="B35" s="18" t="str">
        <x:v>ALNS_VRPTW</x:v>
      </x:c>
      <x:c r="C35" s="18" t="str">
        <x:v>ALNS_VRPTW</x:v>
      </x:c>
      <x:c r="D35" s="18" t="str">
        <x:v>r202C15</x:v>
      </x:c>
      <x:c r="E35" s="19" t="n">
        <x:v>64</x:v>
      </x:c>
      <x:c r="F35" s="18" t="str">
        <x:v>R</x:v>
      </x:c>
      <x:c r="G35" s="19" t="n">
        <x:v>15</x:v>
      </x:c>
      <x:c r="H35" s="18" t="n">
        <x:v>1</x:v>
      </x:c>
      <x:c r="I35" s="19" t="n">
        <x:v>1</x:v>
      </x:c>
      <x:c r="J35" s="20" t="n">
        <x:v>405.634457</x:v>
      </x:c>
      <x:c r="K35" s="20" t="n">
        <x:v>5.506101</x:v>
      </x:c>
      <x:c r="L35" s="19" t="n">
        <x:v>1000</x:v>
      </x:c>
      <x:c r="M35" s="19" t="n">
        <x:v>10</x:v>
      </x:c>
      <x:c r="N35" s="19" t="n">
        <x:v>598</x:v>
      </x:c>
      <x:c r="O35" s="19" t="n">
        <x:v>3</x:v>
      </x:c>
      <x:c r="P35" s="19" t="n">
        <x:v>594</x:v>
      </x:c>
      <x:c r="Q35" s="19" t="n">
        <x:v>1</x:v>
      </x:c>
      <x:c r="R35" s="21" t="n">
        <x:f>P35/L35</x:f>
        <x:v>0.594</x:v>
      </x:c>
      <x:c r="S35" s="18" t="str">
        <x:v>iteration_limit</x:v>
      </x:c>
      <x:c r="T35" s="22" t="b">
        <x:v>0</x:v>
      </x:c>
      <x:c r="U35" s="19" t="n">
        <x:v>0</x:v>
      </x:c>
      <x:c r="V35" s="19" t="n">
        <x:v>0</x:v>
      </x:c>
      <x:c r="W35" s="19" t="n">
        <x:v>0</x:v>
      </x:c>
      <x:c r="X35" s="22" t="b">
        <x:v>0</x:v>
      </x:c>
      <x:c r="Y35" s="20" t="n">
        <x:v>0</x:v>
      </x:c>
      <x:c r="Z35" s="20" t="n">
        <x:v>0</x:v>
      </x:c>
      <x:c r="AA35" s="20" t="n">
        <x:v>2495.79573</x:v>
      </x:c>
      <x:c r="AB35" s="20" t="n">
        <x:v>-345.004457</x:v>
      </x:c>
      <x:c r="AC35" s="20" t="n">
        <x:v>0</x:v>
      </x:c>
      <x:c r="AD35" s="20" t="n">
        <x:v>0</x:v>
      </x:c>
      <x:c r="AE35" s="20" t="n">
        <x:v>315.577168</x:v>
      </x:c>
      <x:c r="AF35" s="18" t="str">
        <x:v>{"random_removal": 0.014757632502162311, "related_removal": 0.012640728454101455, "worst_removal": 0.011529215046068483}</x:v>
      </x:c>
      <x:c r="AG35" s="18" t="str">
        <x:v>{"greedy_insertion": 0.013942826548616925, "regret_2_insertion": 0.012026163970467983}</x:v>
      </x:c>
      <x:c r="AH35" s="18" t="str">
        <x:v>[["D0", "C70", "C11", "C46", "C44", "C38", "C72", "C23", "C25", "C48", "C61", "C87", "C85", "C42", "C41", "C79", "D0"]]</x:v>
      </x:c>
    </x:row>
    <x:row r="36">
      <x:c r="A36" s="18" t="str">
        <x:v>results/week6/main_fixed1000/alns_vrptw_summary.csv</x:v>
      </x:c>
      <x:c r="B36" s="18" t="str">
        <x:v>ALNS_VRPTW</x:v>
      </x:c>
      <x:c r="C36" s="18" t="str">
        <x:v>ALNS_VRPTW</x:v>
      </x:c>
      <x:c r="D36" s="18" t="str">
        <x:v>r202C15</x:v>
      </x:c>
      <x:c r="E36" s="19" t="n">
        <x:v>65</x:v>
      </x:c>
      <x:c r="F36" s="18" t="str">
        <x:v>R</x:v>
      </x:c>
      <x:c r="G36" s="19" t="n">
        <x:v>15</x:v>
      </x:c>
      <x:c r="H36" s="18" t="n">
        <x:v>1</x:v>
      </x:c>
      <x:c r="I36" s="19" t="n">
        <x:v>1</x:v>
      </x:c>
      <x:c r="J36" s="20" t="n">
        <x:v>405.634457</x:v>
      </x:c>
      <x:c r="K36" s="20" t="n">
        <x:v>4.866579</x:v>
      </x:c>
      <x:c r="L36" s="19" t="n">
        <x:v>1000</x:v>
      </x:c>
      <x:c r="M36" s="19" t="n">
        <x:v>3</x:v>
      </x:c>
      <x:c r="N36" s="19" t="n">
        <x:v>729</x:v>
      </x:c>
      <x:c r="O36" s="19" t="n">
        <x:v>8</x:v>
      </x:c>
      <x:c r="P36" s="19" t="n">
        <x:v>717</x:v>
      </x:c>
      <x:c r="Q36" s="19" t="n">
        <x:v>4</x:v>
      </x:c>
      <x:c r="R36" s="21" t="n">
        <x:f>P36/L36</x:f>
        <x:v>0.717</x:v>
      </x:c>
      <x:c r="S36" s="18" t="str">
        <x:v>iteration_limit</x:v>
      </x:c>
      <x:c r="T36" s="22" t="b">
        <x:v>0</x:v>
      </x:c>
      <x:c r="U36" s="19" t="n">
        <x:v>0</x:v>
      </x:c>
      <x:c r="V36" s="19" t="n">
        <x:v>0</x:v>
      </x:c>
      <x:c r="W36" s="19" t="n">
        <x:v>0</x:v>
      </x:c>
      <x:c r="X36" s="22" t="b">
        <x:v>0</x:v>
      </x:c>
      <x:c r="Y36" s="20" t="n">
        <x:v>0</x:v>
      </x:c>
      <x:c r="Z36" s="20" t="n">
        <x:v>0</x:v>
      </x:c>
      <x:c r="AA36" s="20" t="n">
        <x:v>2495.79573</x:v>
      </x:c>
      <x:c r="AB36" s="20" t="n">
        <x:v>-345.004457</x:v>
      </x:c>
      <x:c r="AC36" s="20" t="n">
        <x:v>0</x:v>
      </x:c>
      <x:c r="AD36" s="20" t="n">
        <x:v>0</x:v>
      </x:c>
      <x:c r="AE36" s="20" t="n">
        <x:v>315.577168</x:v>
      </x:c>
      <x:c r="AF36" s="18" t="str">
        <x:v>{"random_removal": 0.03388263317263885, "related_removal": 0.0149122479766814, "worst_removal": 0.011529215046068483}</x:v>
      </x:c>
      <x:c r="AG36" s="18" t="str">
        <x:v>{"greedy_insertion": 0.021558018181336142, "regret_2_insertion": 0.01577371832819651}</x:v>
      </x:c>
      <x:c r="AH36" s="18" t="str">
        <x:v>[["D0", "C70", "C11", "C46", "C44", "C38", "C72", "C23", "C25", "C48", "C61", "C87", "C85", "C42", "C41", "C79", "D0"]]</x:v>
      </x:c>
    </x:row>
    <x:row r="37">
      <x:c r="A37" s="18" t="str">
        <x:v>results/week6/main_fixed1000/alns_vrptw_summary.csv</x:v>
      </x:c>
      <x:c r="B37" s="18" t="str">
        <x:v>ALNS_VRPTW</x:v>
      </x:c>
      <x:c r="C37" s="18" t="str">
        <x:v>ALNS_VRPTW</x:v>
      </x:c>
      <x:c r="D37" s="18" t="str">
        <x:v>r202C15</x:v>
      </x:c>
      <x:c r="E37" s="19" t="n">
        <x:v>66</x:v>
      </x:c>
      <x:c r="F37" s="18" t="str">
        <x:v>R</x:v>
      </x:c>
      <x:c r="G37" s="19" t="n">
        <x:v>15</x:v>
      </x:c>
      <x:c r="H37" s="18" t="n">
        <x:v>1</x:v>
      </x:c>
      <x:c r="I37" s="19" t="n">
        <x:v>1</x:v>
      </x:c>
      <x:c r="J37" s="20" t="n">
        <x:v>405.634457</x:v>
      </x:c>
      <x:c r="K37" s="20" t="n">
        <x:v>5.027248</x:v>
      </x:c>
      <x:c r="L37" s="19" t="n">
        <x:v>1000</x:v>
      </x:c>
      <x:c r="M37" s="19" t="n">
        <x:v>1</x:v>
      </x:c>
      <x:c r="N37" s="19" t="n">
        <x:v>705</x:v>
      </x:c>
      <x:c r="O37" s="19" t="n">
        <x:v>7</x:v>
      </x:c>
      <x:c r="P37" s="19" t="n">
        <x:v>694</x:v>
      </x:c>
      <x:c r="Q37" s="19" t="n">
        <x:v>4</x:v>
      </x:c>
      <x:c r="R37" s="21" t="n">
        <x:f>P37/L37</x:f>
        <x:v>0.694</x:v>
      </x:c>
      <x:c r="S37" s="18" t="str">
        <x:v>iteration_limit</x:v>
      </x:c>
      <x:c r="T37" s="22" t="b">
        <x:v>0</x:v>
      </x:c>
      <x:c r="U37" s="19" t="n">
        <x:v>0</x:v>
      </x:c>
      <x:c r="V37" s="19" t="n">
        <x:v>0</x:v>
      </x:c>
      <x:c r="W37" s="19" t="n">
        <x:v>0</x:v>
      </x:c>
      <x:c r="X37" s="22" t="b">
        <x:v>0</x:v>
      </x:c>
      <x:c r="Y37" s="20" t="n">
        <x:v>0</x:v>
      </x:c>
      <x:c r="Z37" s="20" t="n">
        <x:v>0</x:v>
      </x:c>
      <x:c r="AA37" s="20" t="n">
        <x:v>2495.79573</x:v>
      </x:c>
      <x:c r="AB37" s="20" t="n">
        <x:v>-345.004457</x:v>
      </x:c>
      <x:c r="AC37" s="20" t="n">
        <x:v>0</x:v>
      </x:c>
      <x:c r="AD37" s="20" t="n">
        <x:v>0</x:v>
      </x:c>
      <x:c r="AE37" s="20" t="n">
        <x:v>315.577168</x:v>
      </x:c>
      <x:c r="AF37" s="18" t="str">
        <x:v>{"random_removal": 0.04377335384649494, "related_removal": 0.0177748555312657, "worst_removal": 0.011529215046068483}</x:v>
      </x:c>
      <x:c r="AG37" s="18" t="str">
        <x:v>{"greedy_insertion": 0.03673294021250393, "regret_2_insertion": 0.015492580336372009}</x:v>
      </x:c>
      <x:c r="AH37" s="18" t="str">
        <x:v>[["D0", "C70", "C11", "C46", "C44", "C38", "C72", "C23", "C25", "C48", "C61", "C87", "C85", "C42", "C41", "C79", "D0"]]</x:v>
      </x:c>
    </x:row>
    <x:row r="38">
      <x:c r="A38" s="18" t="str">
        <x:v>results/week6/main_fixed1000/alns_vrptw_summary.csv</x:v>
      </x:c>
      <x:c r="B38" s="18" t="str">
        <x:v>ALNS_VRPTW</x:v>
      </x:c>
      <x:c r="C38" s="18" t="str">
        <x:v>ALNS_VRPTW</x:v>
      </x:c>
      <x:c r="D38" s="18" t="str">
        <x:v>rc105C5</x:v>
      </x:c>
      <x:c r="E38" s="19" t="n">
        <x:v>64</x:v>
      </x:c>
      <x:c r="F38" s="18" t="str">
        <x:v>RC</x:v>
      </x:c>
      <x:c r="G38" s="19" t="n">
        <x:v>5</x:v>
      </x:c>
      <x:c r="H38" s="18" t="n">
        <x:v>1</x:v>
      </x:c>
      <x:c r="I38" s="19" t="n">
        <x:v>2</x:v>
      </x:c>
      <x:c r="J38" s="20" t="n">
        <x:v>227.184742</x:v>
      </x:c>
      <x:c r="K38" s="20" t="n">
        <x:v>0.346664</x:v>
      </x:c>
      <x:c r="L38" s="19" t="n">
        <x:v>1000</x:v>
      </x:c>
      <x:c r="M38" s="19" t="n">
        <x:v>1</x:v>
      </x:c>
      <x:c r="N38" s="19" t="n">
        <x:v>1000</x:v>
      </x:c>
      <x:c r="O38" s="19" t="n">
        <x:v>1</x:v>
      </x:c>
      <x:c r="P38" s="19" t="n">
        <x:v>999</x:v>
      </x:c>
      <x:c r="Q38" s="19" t="n">
        <x:v>0</x:v>
      </x:c>
      <x:c r="R38" s="21" t="n">
        <x:f>P38/L38</x:f>
        <x:v>0.999</x:v>
      </x:c>
      <x:c r="S38" s="18" t="str">
        <x:v>iteration_limit</x:v>
      </x:c>
      <x:c r="T38" s="22" t="b">
        <x:v>0</x:v>
      </x:c>
      <x:c r="U38" s="19" t="n">
        <x:v>0</x:v>
      </x:c>
      <x:c r="V38" s="19" t="n">
        <x:v>0</x:v>
      </x:c>
      <x:c r="W38" s="19" t="n">
        <x:v>0</x:v>
      </x:c>
      <x:c r="X38" s="22" t="b">
        <x:v>0</x:v>
      </x:c>
      <x:c r="Y38" s="20" t="n">
        <x:v>0</x:v>
      </x:c>
      <x:c r="Z38" s="20" t="n">
        <x:v>0</x:v>
      </x:c>
      <x:c r="AA38" s="20" t="n">
        <x:v>105.493924</x:v>
      </x:c>
      <x:c r="AB38" s="20" t="n">
        <x:v>-40.300752</x:v>
      </x:c>
      <x:c r="AC38" s="20" t="n">
        <x:v>0</x:v>
      </x:c>
      <x:c r="AD38" s="20" t="n">
        <x:v>0</x:v>
      </x:c>
      <x:c r="AE38" s="20" t="n">
        <x:v>58.462264</x:v>
      </x:c>
      <x:c r="AF38" s="18" t="str">
        <x:v>{"random_removal": 0.011529215046068483, "related_removal": 0.011529215046068483, "worst_removal": 0.01263779341588276}</x:v>
      </x:c>
      <x:c r="AG38" s="18" t="str">
        <x:v>{"greedy_insertion": 0.011529215046068483, "regret_2_insertion": 0.012083504230975617}</x:v>
      </x:c>
      <x:c r="AH38" s="18" t="str">
        <x:v>[["D0", "C36", "C55", "C82", "D0"], ["D0", "C11", "C22", "D0"]]</x:v>
      </x:c>
    </x:row>
    <x:row r="39">
      <x:c r="A39" s="18" t="str">
        <x:v>results/week6/main_fixed1000/alns_vrptw_summary.csv</x:v>
      </x:c>
      <x:c r="B39" s="18" t="str">
        <x:v>ALNS_VRPTW</x:v>
      </x:c>
      <x:c r="C39" s="18" t="str">
        <x:v>ALNS_VRPTW</x:v>
      </x:c>
      <x:c r="D39" s="18" t="str">
        <x:v>rc105C5</x:v>
      </x:c>
      <x:c r="E39" s="19" t="n">
        <x:v>65</x:v>
      </x:c>
      <x:c r="F39" s="18" t="str">
        <x:v>RC</x:v>
      </x:c>
      <x:c r="G39" s="19" t="n">
        <x:v>5</x:v>
      </x:c>
      <x:c r="H39" s="18" t="n">
        <x:v>1</x:v>
      </x:c>
      <x:c r="I39" s="19" t="n">
        <x:v>2</x:v>
      </x:c>
      <x:c r="J39" s="20" t="n">
        <x:v>227.184742</x:v>
      </x:c>
      <x:c r="K39" s="20" t="n">
        <x:v>0.337514</x:v>
      </x:c>
      <x:c r="L39" s="19" t="n">
        <x:v>1000</x:v>
      </x:c>
      <x:c r="M39" s="19" t="n">
        <x:v>1</x:v>
      </x:c>
      <x:c r="N39" s="19" t="n">
        <x:v>1000</x:v>
      </x:c>
      <x:c r="O39" s="19" t="n">
        <x:v>1</x:v>
      </x:c>
      <x:c r="P39" s="19" t="n">
        <x:v>999</x:v>
      </x:c>
      <x:c r="Q39" s="19" t="n">
        <x:v>0</x:v>
      </x:c>
      <x:c r="R39" s="21" t="n">
        <x:f>P39/L39</x:f>
        <x:v>0.999</x:v>
      </x:c>
      <x:c r="S39" s="18" t="str">
        <x:v>iteration_limit</x:v>
      </x:c>
      <x:c r="T39" s="22" t="b">
        <x:v>0</x:v>
      </x:c>
      <x:c r="U39" s="19" t="n">
        <x:v>0</x:v>
      </x:c>
      <x:c r="V39" s="19" t="n">
        <x:v>0</x:v>
      </x:c>
      <x:c r="W39" s="19" t="n">
        <x:v>0</x:v>
      </x:c>
      <x:c r="X39" s="22" t="b">
        <x:v>0</x:v>
      </x:c>
      <x:c r="Y39" s="20" t="n">
        <x:v>0</x:v>
      </x:c>
      <x:c r="Z39" s="20" t="n">
        <x:v>0</x:v>
      </x:c>
      <x:c r="AA39" s="20" t="n">
        <x:v>105.493924</x:v>
      </x:c>
      <x:c r="AB39" s="20" t="n">
        <x:v>-40.300752</x:v>
      </x:c>
      <x:c r="AC39" s="20" t="n">
        <x:v>0</x:v>
      </x:c>
      <x:c r="AD39" s="20" t="n">
        <x:v>0</x:v>
      </x:c>
      <x:c r="AE39" s="20" t="n">
        <x:v>58.462264</x:v>
      </x:c>
      <x:c r="AF39" s="18" t="str">
        <x:v>{"random_removal": 0.011529215046068483, "related_removal": 0.011529215046068483, "worst_removal": 0.012287716035941407}</x:v>
      </x:c>
      <x:c r="AG39" s="18" t="str">
        <x:v>{"greedy_insertion": 0.012184284082776914, "regret_2_insertion": 0.011529215046068483}</x:v>
      </x:c>
      <x:c r="AH39" s="18" t="str">
        <x:v>[["D0", "C36", "C55", "C82", "D0"], ["D0", "C11", "C22", "D0"]]</x:v>
      </x:c>
    </x:row>
    <x:row r="40">
      <x:c r="A40" s="18" t="str">
        <x:v>results/week6/main_fixed1000/alns_vrptw_summary.csv</x:v>
      </x:c>
      <x:c r="B40" s="18" t="str">
        <x:v>ALNS_VRPTW</x:v>
      </x:c>
      <x:c r="C40" s="18" t="str">
        <x:v>ALNS_VRPTW</x:v>
      </x:c>
      <x:c r="D40" s="18" t="str">
        <x:v>rc105C5</x:v>
      </x:c>
      <x:c r="E40" s="19" t="n">
        <x:v>66</x:v>
      </x:c>
      <x:c r="F40" s="18" t="str">
        <x:v>RC</x:v>
      </x:c>
      <x:c r="G40" s="19" t="n">
        <x:v>5</x:v>
      </x:c>
      <x:c r="H40" s="18" t="n">
        <x:v>1</x:v>
      </x:c>
      <x:c r="I40" s="19" t="n">
        <x:v>2</x:v>
      </x:c>
      <x:c r="J40" s="20" t="n">
        <x:v>227.184742</x:v>
      </x:c>
      <x:c r="K40" s="20" t="n">
        <x:v>0.362417</x:v>
      </x:c>
      <x:c r="L40" s="19" t="n">
        <x:v>1000</x:v>
      </x:c>
      <x:c r="M40" s="19" t="n">
        <x:v>1</x:v>
      </x:c>
      <x:c r="N40" s="19" t="n">
        <x:v>1000</x:v>
      </x:c>
      <x:c r="O40" s="19" t="n">
        <x:v>1</x:v>
      </x:c>
      <x:c r="P40" s="19" t="n">
        <x:v>999</x:v>
      </x:c>
      <x:c r="Q40" s="19" t="n">
        <x:v>0</x:v>
      </x:c>
      <x:c r="R40" s="21" t="n">
        <x:f>P40/L40</x:f>
        <x:v>0.999</x:v>
      </x:c>
      <x:c r="S40" s="18" t="str">
        <x:v>iteration_limit</x:v>
      </x:c>
      <x:c r="T40" s="22" t="b">
        <x:v>0</x:v>
      </x:c>
      <x:c r="U40" s="19" t="n">
        <x:v>0</x:v>
      </x:c>
      <x:c r="V40" s="19" t="n">
        <x:v>0</x:v>
      </x:c>
      <x:c r="W40" s="19" t="n">
        <x:v>0</x:v>
      </x:c>
      <x:c r="X40" s="22" t="b">
        <x:v>0</x:v>
      </x:c>
      <x:c r="Y40" s="20" t="n">
        <x:v>0</x:v>
      </x:c>
      <x:c r="Z40" s="20" t="n">
        <x:v>0</x:v>
      </x:c>
      <x:c r="AA40" s="20" t="n">
        <x:v>105.493924</x:v>
      </x:c>
      <x:c r="AB40" s="20" t="n">
        <x:v>-40.300752</x:v>
      </x:c>
      <x:c r="AC40" s="20" t="n">
        <x:v>0</x:v>
      </x:c>
      <x:c r="AD40" s="20" t="n">
        <x:v>0</x:v>
      </x:c>
      <x:c r="AE40" s="20" t="n">
        <x:v>58.462264</x:v>
      </x:c>
      <x:c r="AF40" s="18" t="str">
        <x:v>{"random_removal": 0.012249790986447762, "related_removal": 0.011529215046068483, "worst_removal": 0.011529215046068483}</x:v>
      </x:c>
      <x:c r="AG40" s="18" t="str">
        <x:v>{"greedy_insertion": 0.012249790986447762, "regret_2_insertion": 0.011529215046068483}</x:v>
      </x:c>
      <x:c r="AH40" s="18" t="str">
        <x:v>[["D0", "C36", "C55", "C82", "D0"], ["D0", "C11", "C22", "D0"]]</x:v>
      </x:c>
    </x:row>
    <x:row r="41">
      <x:c r="A41" s="18" t="str">
        <x:v>results/week6/main_fixed1000/alns_vrptw_summary.csv</x:v>
      </x:c>
      <x:c r="B41" s="18" t="str">
        <x:v>ALNS_VRPTW</x:v>
      </x:c>
      <x:c r="C41" s="18" t="str">
        <x:v>ALNS_VRPTW</x:v>
      </x:c>
      <x:c r="D41" s="18" t="str">
        <x:v>rc102C10</x:v>
      </x:c>
      <x:c r="E41" s="19" t="n">
        <x:v>64</x:v>
      </x:c>
      <x:c r="F41" s="18" t="str">
        <x:v>RC</x:v>
      </x:c>
      <x:c r="G41" s="19" t="n">
        <x:v>10</x:v>
      </x:c>
      <x:c r="H41" s="18" t="n">
        <x:v>1</x:v>
      </x:c>
      <x:c r="I41" s="19" t="n">
        <x:v>3</x:v>
      </x:c>
      <x:c r="J41" s="20" t="n">
        <x:v>384.749645</x:v>
      </x:c>
      <x:c r="K41" s="20" t="n">
        <x:v>1.805856</x:v>
      </x:c>
      <x:c r="L41" s="19" t="n">
        <x:v>1000</x:v>
      </x:c>
      <x:c r="M41" s="19" t="n">
        <x:v>0</x:v>
      </x:c>
      <x:c r="N41" s="19" t="n">
        <x:v>960</x:v>
      </x:c>
      <x:c r="O41" s="19" t="n">
        <x:v>3</x:v>
      </x:c>
      <x:c r="P41" s="19" t="n">
        <x:v>954</x:v>
      </x:c>
      <x:c r="Q41" s="19" t="n">
        <x:v>3</x:v>
      </x:c>
      <x:c r="R41" s="21" t="n">
        <x:f>P41/L41</x:f>
        <x:v>0.954</x:v>
      </x:c>
      <x:c r="S41" s="18" t="str">
        <x:v>iteration_limit</x:v>
      </x:c>
      <x:c r="T41" s="22" t="b">
        <x:v>0</x:v>
      </x:c>
      <x:c r="U41" s="19" t="n">
        <x:v>0</x:v>
      </x:c>
      <x:c r="V41" s="19" t="n">
        <x:v>0</x:v>
      </x:c>
      <x:c r="W41" s="19" t="n">
        <x:v>0</x:v>
      </x:c>
      <x:c r="X41" s="22" t="b">
        <x:v>0</x:v>
      </x:c>
      <x:c r="Y41" s="20" t="n">
        <x:v>0</x:v>
      </x:c>
      <x:c r="Z41" s="20" t="n">
        <x:v>0</x:v>
      </x:c>
      <x:c r="AA41" s="20" t="n">
        <x:v>224.123838</x:v>
      </x:c>
      <x:c r="AB41" s="20" t="n">
        <x:v>-81.364337</x:v>
      </x:c>
      <x:c r="AC41" s="20" t="n">
        <x:v>0</x:v>
      </x:c>
      <x:c r="AD41" s="20" t="n">
        <x:v>0</x:v>
      </x:c>
      <x:c r="AE41" s="20" t="n">
        <x:v>98.639531</x:v>
      </x:c>
      <x:c r="AF41" s="18" t="str">
        <x:v>{"random_removal": 0.01505861805091937, "related_removal": 0.012185453848913896, "worst_removal": 0.011529215046068483}</x:v>
      </x:c>
      <x:c r="AG41" s="18" t="str">
        <x:v>{"greedy_insertion": 0.012261810758123996, "regret_2_insertion": 0.014275562140778393}</x:v>
      </x:c>
      <x:c r="AH41" s="18" t="str">
        <x:v>[["D0", "C57", "C49", "C26", "D0"], ["D0", "C44", "C45", "C70", "C54", "D0"], ["D0", "C53", "C11", "C92", "D0"]]</x:v>
      </x:c>
    </x:row>
    <x:row r="42">
      <x:c r="A42" s="18" t="str">
        <x:v>results/week6/main_fixed1000/alns_vrptw_summary.csv</x:v>
      </x:c>
      <x:c r="B42" s="18" t="str">
        <x:v>ALNS_VRPTW</x:v>
      </x:c>
      <x:c r="C42" s="18" t="str">
        <x:v>ALNS_VRPTW</x:v>
      </x:c>
      <x:c r="D42" s="18" t="str">
        <x:v>rc102C10</x:v>
      </x:c>
      <x:c r="E42" s="19" t="n">
        <x:v>65</x:v>
      </x:c>
      <x:c r="F42" s="18" t="str">
        <x:v>RC</x:v>
      </x:c>
      <x:c r="G42" s="19" t="n">
        <x:v>10</x:v>
      </x:c>
      <x:c r="H42" s="18" t="n">
        <x:v>1</x:v>
      </x:c>
      <x:c r="I42" s="19" t="n">
        <x:v>3</x:v>
      </x:c>
      <x:c r="J42" s="20" t="n">
        <x:v>384.749645</x:v>
      </x:c>
      <x:c r="K42" s="20" t="n">
        <x:v>1.72772</x:v>
      </x:c>
      <x:c r="L42" s="19" t="n">
        <x:v>1000</x:v>
      </x:c>
      <x:c r="M42" s="19" t="n">
        <x:v>0</x:v>
      </x:c>
      <x:c r="N42" s="19" t="n">
        <x:v>962</x:v>
      </x:c>
      <x:c r="O42" s="19" t="n">
        <x:v>2</x:v>
      </x:c>
      <x:c r="P42" s="19" t="n">
        <x:v>958</x:v>
      </x:c>
      <x:c r="Q42" s="19" t="n">
        <x:v>2</x:v>
      </x:c>
      <x:c r="R42" s="21" t="n">
        <x:f>P42/L42</x:f>
        <x:v>0.958</x:v>
      </x:c>
      <x:c r="S42" s="18" t="str">
        <x:v>iteration_limit</x:v>
      </x:c>
      <x:c r="T42" s="22" t="b">
        <x:v>0</x:v>
      </x:c>
      <x:c r="U42" s="19" t="n">
        <x:v>0</x:v>
      </x:c>
      <x:c r="V42" s="19" t="n">
        <x:v>0</x:v>
      </x:c>
      <x:c r="W42" s="19" t="n">
        <x:v>0</x:v>
      </x:c>
      <x:c r="X42" s="22" t="b">
        <x:v>0</x:v>
      </x:c>
      <x:c r="Y42" s="20" t="n">
        <x:v>0</x:v>
      </x:c>
      <x:c r="Z42" s="20" t="n">
        <x:v>0</x:v>
      </x:c>
      <x:c r="AA42" s="20" t="n">
        <x:v>224.123838</x:v>
      </x:c>
      <x:c r="AB42" s="20" t="n">
        <x:v>-81.364337</x:v>
      </x:c>
      <x:c r="AC42" s="20" t="n">
        <x:v>0</x:v>
      </x:c>
      <x:c r="AD42" s="20" t="n">
        <x:v>0</x:v>
      </x:c>
      <x:c r="AE42" s="20" t="n">
        <x:v>98.639531</x:v>
      </x:c>
      <x:c r="AF42" s="18" t="str">
        <x:v>{"random_removal": 0.012962453497306022, "related_removal": 0.0161309657203542, "worst_removal": 0.012009599006321335}</x:v>
      </x:c>
      <x:c r="AG42" s="18" t="str">
        <x:v>{"greedy_insertion": 0.011529215046068483, "regret_2_insertion": 0.01474359303657484}</x:v>
      </x:c>
      <x:c r="AH42" s="18" t="str">
        <x:v>[["D0", "C57", "C49", "C26", "D0"], ["D0", "C44", "C45", "C70", "C54", "D0"], ["D0", "C53", "C11", "C92", "D0"]]</x:v>
      </x:c>
    </x:row>
    <x:row r="43">
      <x:c r="A43" s="18" t="str">
        <x:v>results/week6/main_fixed1000/alns_vrptw_summary.csv</x:v>
      </x:c>
      <x:c r="B43" s="18" t="str">
        <x:v>ALNS_VRPTW</x:v>
      </x:c>
      <x:c r="C43" s="18" t="str">
        <x:v>ALNS_VRPTW</x:v>
      </x:c>
      <x:c r="D43" s="18" t="str">
        <x:v>rc102C10</x:v>
      </x:c>
      <x:c r="E43" s="19" t="n">
        <x:v>66</x:v>
      </x:c>
      <x:c r="F43" s="18" t="str">
        <x:v>RC</x:v>
      </x:c>
      <x:c r="G43" s="19" t="n">
        <x:v>10</x:v>
      </x:c>
      <x:c r="H43" s="18" t="n">
        <x:v>1</x:v>
      </x:c>
      <x:c r="I43" s="19" t="n">
        <x:v>3</x:v>
      </x:c>
      <x:c r="J43" s="20" t="n">
        <x:v>384.749645</x:v>
      </x:c>
      <x:c r="K43" s="20" t="n">
        <x:v>1.712815</x:v>
      </x:c>
      <x:c r="L43" s="19" t="n">
        <x:v>1000</x:v>
      </x:c>
      <x:c r="M43" s="19" t="n">
        <x:v>0</x:v>
      </x:c>
      <x:c r="N43" s="19" t="n">
        <x:v>960</x:v>
      </x:c>
      <x:c r="O43" s="19" t="n">
        <x:v>5</x:v>
      </x:c>
      <x:c r="P43" s="19" t="n">
        <x:v>950</x:v>
      </x:c>
      <x:c r="Q43" s="19" t="n">
        <x:v>5</x:v>
      </x:c>
      <x:c r="R43" s="21" t="n">
        <x:f>P43/L43</x:f>
        <x:v>0.95</x:v>
      </x:c>
      <x:c r="S43" s="18" t="str">
        <x:v>iteration_limit</x:v>
      </x:c>
      <x:c r="T43" s="22" t="b">
        <x:v>0</x:v>
      </x:c>
      <x:c r="U43" s="19" t="n">
        <x:v>0</x:v>
      </x:c>
      <x:c r="V43" s="19" t="n">
        <x:v>0</x:v>
      </x:c>
      <x:c r="W43" s="19" t="n">
        <x:v>0</x:v>
      </x:c>
      <x:c r="X43" s="22" t="b">
        <x:v>0</x:v>
      </x:c>
      <x:c r="Y43" s="20" t="n">
        <x:v>0</x:v>
      </x:c>
      <x:c r="Z43" s="20" t="n">
        <x:v>0</x:v>
      </x:c>
      <x:c r="AA43" s="20" t="n">
        <x:v>224.123838</x:v>
      </x:c>
      <x:c r="AB43" s="20" t="n">
        <x:v>-81.364337</x:v>
      </x:c>
      <x:c r="AC43" s="20" t="n">
        <x:v>0</x:v>
      </x:c>
      <x:c r="AD43" s="20" t="n">
        <x:v>0</x:v>
      </x:c>
      <x:c r="AE43" s="20" t="n">
        <x:v>98.639531</x:v>
      </x:c>
      <x:c r="AF43" s="18" t="str">
        <x:v>{"random_removal": 0.023688077910127413, "related_removal": 0.02733109647411777, "worst_removal": 0.03515998427683772}</x:v>
      </x:c>
      <x:c r="AG43" s="18" t="str">
        <x:v>{"greedy_insertion": 0.03427047288304991, "regret_2_insertion": 0.022565360251634692}</x:v>
      </x:c>
      <x:c r="AH43" s="18" t="str">
        <x:v>[["D0", "C57", "C49", "C26", "D0"], ["D0", "C44", "C45", "C70", "C54", "D0"], ["D0", "C53", "C11", "C92", "D0"]]</x:v>
      </x:c>
    </x:row>
    <x:row r="44">
      <x:c r="A44" s="18" t="str">
        <x:v>results/week6/main_fixed1000/alns_vrptw_summary.csv</x:v>
      </x:c>
      <x:c r="B44" s="18" t="str">
        <x:v>ALNS_VRPTW</x:v>
      </x:c>
      <x:c r="C44" s="18" t="str">
        <x:v>ALNS_VRPTW</x:v>
      </x:c>
      <x:c r="D44" s="18" t="str">
        <x:v>rc103C15</x:v>
      </x:c>
      <x:c r="E44" s="19" t="n">
        <x:v>64</x:v>
      </x:c>
      <x:c r="F44" s="18" t="str">
        <x:v>RC</x:v>
      </x:c>
      <x:c r="G44" s="19" t="n">
        <x:v>15</x:v>
      </x:c>
      <x:c r="H44" s="18" t="n">
        <x:v>1</x:v>
      </x:c>
      <x:c r="I44" s="19" t="n">
        <x:v>3</x:v>
      </x:c>
      <x:c r="J44" s="20" t="n">
        <x:v>510.998472</x:v>
      </x:c>
      <x:c r="K44" s="20" t="n">
        <x:v>6.953339</x:v>
      </x:c>
      <x:c r="L44" s="19" t="n">
        <x:v>1000</x:v>
      </x:c>
      <x:c r="M44" s="19" t="n">
        <x:v>0</x:v>
      </x:c>
      <x:c r="N44" s="19" t="n">
        <x:v>863</x:v>
      </x:c>
      <x:c r="O44" s="19" t="n">
        <x:v>1</x:v>
      </x:c>
      <x:c r="P44" s="19" t="n">
        <x:v>861</x:v>
      </x:c>
      <x:c r="Q44" s="19" t="n">
        <x:v>1</x:v>
      </x:c>
      <x:c r="R44" s="21" t="n">
        <x:f>P44/L44</x:f>
        <x:v>0.861</x:v>
      </x:c>
      <x:c r="S44" s="18" t="str">
        <x:v>iteration_limit</x:v>
      </x:c>
      <x:c r="T44" s="22" t="b">
        <x:v>0</x:v>
      </x:c>
      <x:c r="U44" s="19" t="n">
        <x:v>0</x:v>
      </x:c>
      <x:c r="V44" s="19" t="n">
        <x:v>0</x:v>
      </x:c>
      <x:c r="W44" s="19" t="n">
        <x:v>0</x:v>
      </x:c>
      <x:c r="X44" s="22" t="b">
        <x:v>0</x:v>
      </x:c>
      <x:c r="Y44" s="20" t="n">
        <x:v>0</x:v>
      </x:c>
      <x:c r="Z44" s="20" t="n">
        <x:v>0</x:v>
      </x:c>
      <x:c r="AA44" s="20" t="n">
        <x:v>543.342608</x:v>
      </x:c>
      <x:c r="AB44" s="20" t="n">
        <x:v>-98.979667</x:v>
      </x:c>
      <x:c r="AC44" s="20" t="n">
        <x:v>0</x:v>
      </x:c>
      <x:c r="AD44" s="20" t="n">
        <x:v>0</x:v>
      </x:c>
      <x:c r="AE44" s="20" t="n">
        <x:v>23.023367</x:v>
      </x:c>
      <x:c r="AF44" s="18" t="str">
        <x:v>{"random_removal": 0.011779415025366845, "related_removal": 0.011529215046068483, "worst_removal": 0.012279814983963567}</x:v>
      </x:c>
      <x:c r="AG44" s="18" t="str">
        <x:v>{"greedy_insertion": 0.012196414990864109, "regret_2_insertion": 0.011529215046068483}</x:v>
      </x:c>
      <x:c r="AH44" s="18" t="str">
        <x:v>[["D0", "C65", "C87", "C8", "C15", "D0"], ["D0", "C62", "C33", "C84", "C83", "C90", "C70", "D0"], ["D0", "C100", "C6", "C39", "C72", "C34", "D0"]]</x:v>
      </x:c>
    </x:row>
    <x:row r="45">
      <x:c r="A45" s="18" t="str">
        <x:v>results/week6/main_fixed1000/alns_vrptw_summary.csv</x:v>
      </x:c>
      <x:c r="B45" s="18" t="str">
        <x:v>ALNS_VRPTW</x:v>
      </x:c>
      <x:c r="C45" s="18" t="str">
        <x:v>ALNS_VRPTW</x:v>
      </x:c>
      <x:c r="D45" s="18" t="str">
        <x:v>rc103C15</x:v>
      </x:c>
      <x:c r="E45" s="19" t="n">
        <x:v>65</x:v>
      </x:c>
      <x:c r="F45" s="18" t="str">
        <x:v>RC</x:v>
      </x:c>
      <x:c r="G45" s="19" t="n">
        <x:v>15</x:v>
      </x:c>
      <x:c r="H45" s="18" t="n">
        <x:v>1</x:v>
      </x:c>
      <x:c r="I45" s="19" t="n">
        <x:v>3</x:v>
      </x:c>
      <x:c r="J45" s="20" t="n">
        <x:v>510.998472</x:v>
      </x:c>
      <x:c r="K45" s="20" t="n">
        <x:v>6.969959</x:v>
      </x:c>
      <x:c r="L45" s="19" t="n">
        <x:v>1000</x:v>
      </x:c>
      <x:c r="M45" s="19" t="n">
        <x:v>0</x:v>
      </x:c>
      <x:c r="N45" s="19" t="n">
        <x:v>873</x:v>
      </x:c>
      <x:c r="O45" s="19" t="n">
        <x:v>3</x:v>
      </x:c>
      <x:c r="P45" s="19" t="n">
        <x:v>867</x:v>
      </x:c>
      <x:c r="Q45" s="19" t="n">
        <x:v>3</x:v>
      </x:c>
      <x:c r="R45" s="21" t="n">
        <x:f>P45/L45</x:f>
        <x:v>0.867</x:v>
      </x:c>
      <x:c r="S45" s="18" t="str">
        <x:v>iteration_limit</x:v>
      </x:c>
      <x:c r="T45" s="22" t="b">
        <x:v>0</x:v>
      </x:c>
      <x:c r="U45" s="19" t="n">
        <x:v>0</x:v>
      </x:c>
      <x:c r="V45" s="19" t="n">
        <x:v>0</x:v>
      </x:c>
      <x:c r="W45" s="19" t="n">
        <x:v>0</x:v>
      </x:c>
      <x:c r="X45" s="22" t="b">
        <x:v>0</x:v>
      </x:c>
      <x:c r="Y45" s="20" t="n">
        <x:v>0</x:v>
      </x:c>
      <x:c r="Z45" s="20" t="n">
        <x:v>0</x:v>
      </x:c>
      <x:c r="AA45" s="20" t="n">
        <x:v>543.342608</x:v>
      </x:c>
      <x:c r="AB45" s="20" t="n">
        <x:v>-98.979667</x:v>
      </x:c>
      <x:c r="AC45" s="20" t="n">
        <x:v>0</x:v>
      </x:c>
      <x:c r="AD45" s="20" t="n">
        <x:v>0</x:v>
      </x:c>
      <x:c r="AE45" s="20" t="n">
        <x:v>23.023367</x:v>
      </x:c>
      <x:c r="AF45" s="18" t="str">
        <x:v>{"random_removal": 0.014127445600320697, "related_removal": 0.012584746208733445, "worst_removal": 0.011529215046068483}</x:v>
      </x:c>
      <x:c r="AG45" s="18" t="str">
        <x:v>{"greedy_insertion": 0.012237442406824332, "regret_2_insertion": 0.013218064906332426}</x:v>
      </x:c>
      <x:c r="AH45" s="18" t="str">
        <x:v>[["D0", "C65", "C87", "C8", "C15", "D0"], ["D0", "C62", "C33", "C84", "C83", "C90", "C70", "D0"], ["D0", "C100", "C6", "C39", "C72", "C34", "D0"]]</x:v>
      </x:c>
    </x:row>
    <x:row r="46">
      <x:c r="A46" s="18" t="str">
        <x:v>results/week6/main_fixed1000/alns_vrptw_summary.csv</x:v>
      </x:c>
      <x:c r="B46" s="18" t="str">
        <x:v>ALNS_VRPTW</x:v>
      </x:c>
      <x:c r="C46" s="18" t="str">
        <x:v>ALNS_VRPTW</x:v>
      </x:c>
      <x:c r="D46" s="18" t="str">
        <x:v>rc103C15</x:v>
      </x:c>
      <x:c r="E46" s="19" t="n">
        <x:v>66</x:v>
      </x:c>
      <x:c r="F46" s="18" t="str">
        <x:v>RC</x:v>
      </x:c>
      <x:c r="G46" s="19" t="n">
        <x:v>15</x:v>
      </x:c>
      <x:c r="H46" s="18" t="n">
        <x:v>1</x:v>
      </x:c>
      <x:c r="I46" s="19" t="n">
        <x:v>3</x:v>
      </x:c>
      <x:c r="J46" s="20" t="n">
        <x:v>510.998472</x:v>
      </x:c>
      <x:c r="K46" s="20" t="n">
        <x:v>5.928152</x:v>
      </x:c>
      <x:c r="L46" s="19" t="n">
        <x:v>1000</x:v>
      </x:c>
      <x:c r="M46" s="19" t="n">
        <x:v>0</x:v>
      </x:c>
      <x:c r="N46" s="19" t="n">
        <x:v>863</x:v>
      </x:c>
      <x:c r="O46" s="19" t="n">
        <x:v>0</x:v>
      </x:c>
      <x:c r="P46" s="19" t="n">
        <x:v>863</x:v>
      </x:c>
      <x:c r="Q46" s="19" t="n">
        <x:v>0</x:v>
      </x:c>
      <x:c r="R46" s="21" t="n">
        <x:f>P46/L46</x:f>
        <x:v>0.863</x:v>
      </x:c>
      <x:c r="S46" s="18" t="str">
        <x:v>iteration_limit</x:v>
      </x:c>
      <x:c r="T46" s="22" t="b">
        <x:v>0</x:v>
      </x:c>
      <x:c r="U46" s="19" t="n">
        <x:v>0</x:v>
      </x:c>
      <x:c r="V46" s="19" t="n">
        <x:v>0</x:v>
      </x:c>
      <x:c r="W46" s="19" t="n">
        <x:v>0</x:v>
      </x:c>
      <x:c r="X46" s="22" t="b">
        <x:v>0</x:v>
      </x:c>
      <x:c r="Y46" s="20" t="n">
        <x:v>0</x:v>
      </x:c>
      <x:c r="Z46" s="20" t="n">
        <x:v>0</x:v>
      </x:c>
      <x:c r="AA46" s="20" t="n">
        <x:v>543.342608</x:v>
      </x:c>
      <x:c r="AB46" s="20" t="n">
        <x:v>-98.979667</x:v>
      </x:c>
      <x:c r="AC46" s="20" t="n">
        <x:v>0</x:v>
      </x:c>
      <x:c r="AD46" s="20" t="n">
        <x:v>0</x:v>
      </x:c>
      <x:c r="AE46" s="20" t="n">
        <x:v>23.023367</x:v>
      </x:c>
      <x:c r="AF46" s="18" t="str">
        <x:v>{"random_removal": 0.011529215046068483, "related_removal": 0.011529215046068483, "worst_removal": 0.011529215046068483}</x:v>
      </x:c>
      <x:c r="AG46" s="18" t="str">
        <x:v>{"greedy_insertion": 0.011529215046068483, "regret_2_insertion": 0.011529215046068483}</x:v>
      </x:c>
      <x:c r="AH46" s="18" t="str">
        <x:v>[["D0", "C65", "C87", "C8", "C15", "D0"], ["D0", "C62", "C33", "C84", "C83", "C90", "C70", "D0"], ["D0", "C100", "C6", "C39", "C72", "C34", "D0"]]</x:v>
      </x:c>
    </x:row>
    <x:row r="47">
      <x:c r="A47" s="18" t="str">
        <x:v>results/week6/main_fixed1000/alns_vrptw_summary.csv</x:v>
      </x:c>
      <x:c r="B47" s="18" t="str">
        <x:v>ALNS_VRPTW</x:v>
      </x:c>
      <x:c r="C47" s="18" t="str">
        <x:v>ALNS_VRPTW</x:v>
      </x:c>
      <x:c r="D47" s="18" t="str">
        <x:v>rc204C5</x:v>
      </x:c>
      <x:c r="E47" s="19" t="n">
        <x:v>64</x:v>
      </x:c>
      <x:c r="F47" s="18" t="str">
        <x:v>RC</x:v>
      </x:c>
      <x:c r="G47" s="19" t="n">
        <x:v>5</x:v>
      </x:c>
      <x:c r="H47" s="18" t="n">
        <x:v>1</x:v>
      </x:c>
      <x:c r="I47" s="19" t="n">
        <x:v>1</x:v>
      </x:c>
      <x:c r="J47" s="20" t="n">
        <x:v>172.027624</x:v>
      </x:c>
      <x:c r="K47" s="20" t="n">
        <x:v>0.437182</x:v>
      </x:c>
      <x:c r="L47" s="19" t="n">
        <x:v>1000</x:v>
      </x:c>
      <x:c r="M47" s="19" t="n">
        <x:v>0</x:v>
      </x:c>
      <x:c r="N47" s="19" t="n">
        <x:v>1000</x:v>
      </x:c>
      <x:c r="O47" s="19" t="n">
        <x:v>0</x:v>
      </x:c>
      <x:c r="P47" s="19" t="n">
        <x:v>1000</x:v>
      </x:c>
      <x:c r="Q47" s="19" t="n">
        <x:v>0</x:v>
      </x:c>
      <x:c r="R47" s="21" t="n">
        <x:f>P47/L47</x:f>
        <x:v>1</x:v>
      </x:c>
      <x:c r="S47" s="18" t="str">
        <x:v>iteration_limit</x:v>
      </x:c>
      <x:c r="T47" s="22" t="b">
        <x:v>0</x:v>
      </x:c>
      <x:c r="U47" s="19" t="n">
        <x:v>0</x:v>
      </x:c>
      <x:c r="V47" s="19" t="n">
        <x:v>0</x:v>
      </x:c>
      <x:c r="W47" s="19" t="n">
        <x:v>0</x:v>
      </x:c>
      <x:c r="X47" s="22" t="b">
        <x:v>0</x:v>
      </x:c>
      <x:c r="Y47" s="20" t="n">
        <x:v>0</x:v>
      </x:c>
      <x:c r="Z47" s="20" t="n">
        <x:v>0</x:v>
      </x:c>
      <x:c r="AA47" s="20" t="n">
        <x:v>222.349134</x:v>
      </x:c>
      <x:c r="AB47" s="20" t="n">
        <x:v>-94.277624</x:v>
      </x:c>
      <x:c r="AC47" s="20" t="n">
        <x:v>0</x:v>
      </x:c>
      <x:c r="AD47" s="20" t="n">
        <x:v>0</x:v>
      </x:c>
      <x:c r="AE47" s="20" t="n">
        <x:v>558.41452</x:v>
      </x:c>
      <x:c r="AF47" s="18" t="str">
        <x:v>{"random_removal": 0.011529215046068483, "related_removal": 0.011529215046068483, "worst_removal": 0.011529215046068483}</x:v>
      </x:c>
      <x:c r="AG47" s="18" t="str">
        <x:v>{"greedy_insertion": 0.011529215046068483, "regret_2_insertion": 0.011529215046068483}</x:v>
      </x:c>
      <x:c r="AH47" s="18" t="str">
        <x:v>[["D0", "C49", "C19", "C23", "C4", "C81", "D0"]]</x:v>
      </x:c>
    </x:row>
    <x:row r="48">
      <x:c r="A48" s="18" t="str">
        <x:v>results/week6/main_fixed1000/alns_vrptw_summary.csv</x:v>
      </x:c>
      <x:c r="B48" s="18" t="str">
        <x:v>ALNS_VRPTW</x:v>
      </x:c>
      <x:c r="C48" s="18" t="str">
        <x:v>ALNS_VRPTW</x:v>
      </x:c>
      <x:c r="D48" s="18" t="str">
        <x:v>rc204C5</x:v>
      </x:c>
      <x:c r="E48" s="19" t="n">
        <x:v>65</x:v>
      </x:c>
      <x:c r="F48" s="18" t="str">
        <x:v>RC</x:v>
      </x:c>
      <x:c r="G48" s="19" t="n">
        <x:v>5</x:v>
      </x:c>
      <x:c r="H48" s="18" t="n">
        <x:v>1</x:v>
      </x:c>
      <x:c r="I48" s="19" t="n">
        <x:v>1</x:v>
      </x:c>
      <x:c r="J48" s="20" t="n">
        <x:v>172.027624</x:v>
      </x:c>
      <x:c r="K48" s="20" t="n">
        <x:v>0.394708</x:v>
      </x:c>
      <x:c r="L48" s="19" t="n">
        <x:v>1000</x:v>
      </x:c>
      <x:c r="M48" s="19" t="n">
        <x:v>0</x:v>
      </x:c>
      <x:c r="N48" s="19" t="n">
        <x:v>1000</x:v>
      </x:c>
      <x:c r="O48" s="19" t="n">
        <x:v>0</x:v>
      </x:c>
      <x:c r="P48" s="19" t="n">
        <x:v>1000</x:v>
      </x:c>
      <x:c r="Q48" s="19" t="n">
        <x:v>0</x:v>
      </x:c>
      <x:c r="R48" s="21" t="n">
        <x:f>P48/L48</x:f>
        <x:v>1</x:v>
      </x:c>
      <x:c r="S48" s="18" t="str">
        <x:v>iteration_limit</x:v>
      </x:c>
      <x:c r="T48" s="22" t="b">
        <x:v>0</x:v>
      </x:c>
      <x:c r="U48" s="19" t="n">
        <x:v>0</x:v>
      </x:c>
      <x:c r="V48" s="19" t="n">
        <x:v>0</x:v>
      </x:c>
      <x:c r="W48" s="19" t="n">
        <x:v>0</x:v>
      </x:c>
      <x:c r="X48" s="22" t="b">
        <x:v>0</x:v>
      </x:c>
      <x:c r="Y48" s="20" t="n">
        <x:v>0</x:v>
      </x:c>
      <x:c r="Z48" s="20" t="n">
        <x:v>0</x:v>
      </x:c>
      <x:c r="AA48" s="20" t="n">
        <x:v>222.349134</x:v>
      </x:c>
      <x:c r="AB48" s="20" t="n">
        <x:v>-94.277624</x:v>
      </x:c>
      <x:c r="AC48" s="20" t="n">
        <x:v>0</x:v>
      </x:c>
      <x:c r="AD48" s="20" t="n">
        <x:v>0</x:v>
      </x:c>
      <x:c r="AE48" s="20" t="n">
        <x:v>558.41452</x:v>
      </x:c>
      <x:c r="AF48" s="18" t="str">
        <x:v>{"random_removal": 0.011529215046068483, "related_removal": 0.011529215046068483, "worst_removal": 0.011529215046068483}</x:v>
      </x:c>
      <x:c r="AG48" s="18" t="str">
        <x:v>{"greedy_insertion": 0.011529215046068483, "regret_2_insertion": 0.011529215046068483}</x:v>
      </x:c>
      <x:c r="AH48" s="18" t="str">
        <x:v>[["D0", "C49", "C19", "C23", "C4", "C81", "D0"]]</x:v>
      </x:c>
    </x:row>
    <x:row r="49">
      <x:c r="A49" s="18" t="str">
        <x:v>results/week6/main_fixed1000/alns_vrptw_summary.csv</x:v>
      </x:c>
      <x:c r="B49" s="18" t="str">
        <x:v>ALNS_VRPTW</x:v>
      </x:c>
      <x:c r="C49" s="18" t="str">
        <x:v>ALNS_VRPTW</x:v>
      </x:c>
      <x:c r="D49" s="18" t="str">
        <x:v>rc204C5</x:v>
      </x:c>
      <x:c r="E49" s="19" t="n">
        <x:v>66</x:v>
      </x:c>
      <x:c r="F49" s="18" t="str">
        <x:v>RC</x:v>
      </x:c>
      <x:c r="G49" s="19" t="n">
        <x:v>5</x:v>
      </x:c>
      <x:c r="H49" s="18" t="n">
        <x:v>1</x:v>
      </x:c>
      <x:c r="I49" s="19" t="n">
        <x:v>1</x:v>
      </x:c>
      <x:c r="J49" s="20" t="n">
        <x:v>172.027624</x:v>
      </x:c>
      <x:c r="K49" s="20" t="n">
        <x:v>0.423504</x:v>
      </x:c>
      <x:c r="L49" s="19" t="n">
        <x:v>1000</x:v>
      </x:c>
      <x:c r="M49" s="19" t="n">
        <x:v>0</x:v>
      </x:c>
      <x:c r="N49" s="19" t="n">
        <x:v>1000</x:v>
      </x:c>
      <x:c r="O49" s="19" t="n">
        <x:v>0</x:v>
      </x:c>
      <x:c r="P49" s="19" t="n">
        <x:v>1000</x:v>
      </x:c>
      <x:c r="Q49" s="19" t="n">
        <x:v>0</x:v>
      </x:c>
      <x:c r="R49" s="21" t="n">
        <x:f>P49/L49</x:f>
        <x:v>1</x:v>
      </x:c>
      <x:c r="S49" s="18" t="str">
        <x:v>iteration_limit</x:v>
      </x:c>
      <x:c r="T49" s="22" t="b">
        <x:v>0</x:v>
      </x:c>
      <x:c r="U49" s="19" t="n">
        <x:v>0</x:v>
      </x:c>
      <x:c r="V49" s="19" t="n">
        <x:v>0</x:v>
      </x:c>
      <x:c r="W49" s="19" t="n">
        <x:v>0</x:v>
      </x:c>
      <x:c r="X49" s="22" t="b">
        <x:v>0</x:v>
      </x:c>
      <x:c r="Y49" s="20" t="n">
        <x:v>0</x:v>
      </x:c>
      <x:c r="Z49" s="20" t="n">
        <x:v>0</x:v>
      </x:c>
      <x:c r="AA49" s="20" t="n">
        <x:v>222.349134</x:v>
      </x:c>
      <x:c r="AB49" s="20" t="n">
        <x:v>-94.277624</x:v>
      </x:c>
      <x:c r="AC49" s="20" t="n">
        <x:v>0</x:v>
      </x:c>
      <x:c r="AD49" s="20" t="n">
        <x:v>0</x:v>
      </x:c>
      <x:c r="AE49" s="20" t="n">
        <x:v>558.41452</x:v>
      </x:c>
      <x:c r="AF49" s="18" t="str">
        <x:v>{"random_removal": 0.011529215046068483, "related_removal": 0.011529215046068483, "worst_removal": 0.011529215046068483}</x:v>
      </x:c>
      <x:c r="AG49" s="18" t="str">
        <x:v>{"greedy_insertion": 0.011529215046068483, "regret_2_insertion": 0.011529215046068483}</x:v>
      </x:c>
      <x:c r="AH49" s="18" t="str">
        <x:v>[["D0", "C49", "C19", "C23", "C4", "C81", "D0"]]</x:v>
      </x:c>
    </x:row>
    <x:row r="50">
      <x:c r="A50" s="18" t="str">
        <x:v>results/week6/main_fixed1000/alns_vrptw_summary.csv</x:v>
      </x:c>
      <x:c r="B50" s="18" t="str">
        <x:v>ALNS_VRPTW</x:v>
      </x:c>
      <x:c r="C50" s="18" t="str">
        <x:v>ALNS_VRPTW</x:v>
      </x:c>
      <x:c r="D50" s="18" t="str">
        <x:v>rc201C10</x:v>
      </x:c>
      <x:c r="E50" s="19" t="n">
        <x:v>64</x:v>
      </x:c>
      <x:c r="F50" s="18" t="str">
        <x:v>RC</x:v>
      </x:c>
      <x:c r="G50" s="19" t="n">
        <x:v>10</x:v>
      </x:c>
      <x:c r="H50" s="18" t="n">
        <x:v>1</x:v>
      </x:c>
      <x:c r="I50" s="19" t="n">
        <x:v>1</x:v>
      </x:c>
      <x:c r="J50" s="20" t="n">
        <x:v>399.645781</x:v>
      </x:c>
      <x:c r="K50" s="20" t="n">
        <x:v>1.262244</x:v>
      </x:c>
      <x:c r="L50" s="19" t="n">
        <x:v>1000</x:v>
      </x:c>
      <x:c r="M50" s="19" t="n">
        <x:v>0</x:v>
      </x:c>
      <x:c r="N50" s="19" t="n">
        <x:v>986</x:v>
      </x:c>
      <x:c r="O50" s="19" t="n">
        <x:v>1</x:v>
      </x:c>
      <x:c r="P50" s="19" t="n">
        <x:v>984</x:v>
      </x:c>
      <x:c r="Q50" s="19" t="n">
        <x:v>1</x:v>
      </x:c>
      <x:c r="R50" s="21" t="n">
        <x:f>P50/L50</x:f>
        <x:v>0.984</x:v>
      </x:c>
      <x:c r="S50" s="18" t="str">
        <x:v>iteration_limit</x:v>
      </x:c>
      <x:c r="T50" s="22" t="b">
        <x:v>0</x:v>
      </x:c>
      <x:c r="U50" s="19" t="n">
        <x:v>0</x:v>
      </x:c>
      <x:c r="V50" s="19" t="n">
        <x:v>0</x:v>
      </x:c>
      <x:c r="W50" s="19" t="n">
        <x:v>0</x:v>
      </x:c>
      <x:c r="X50" s="22" t="b">
        <x:v>0</x:v>
      </x:c>
      <x:c r="Y50" s="20" t="n">
        <x:v>0</x:v>
      </x:c>
      <x:c r="Z50" s="20" t="n">
        <x:v>0</x:v>
      </x:c>
      <x:c r="AA50" s="20" t="n">
        <x:v>1875.763236</x:v>
      </x:c>
      <x:c r="AB50" s="20" t="n">
        <x:v>-321.895781</x:v>
      </x:c>
      <x:c r="AC50" s="20" t="n">
        <x:v>0</x:v>
      </x:c>
      <x:c r="AD50" s="20" t="n">
        <x:v>0</x:v>
      </x:c>
      <x:c r="AE50" s="20" t="n">
        <x:v>306.395814</x:v>
      </x:c>
      <x:c r="AF50" s="18" t="str">
        <x:v>{"random_removal": 0.011529215046068483, "related_removal": 0.011709359031163297, "worst_removal": 0.012037856886336205}</x:v>
      </x:c>
      <x:c r="AG50" s="18" t="str">
        <x:v>{"greedy_insertion": 0.01167333023414434, "regret_2_insertion": 0.011817445422220192}</x:v>
      </x:c>
      <x:c r="AH50" s="18" t="str">
        <x:v>[["D0", "C79", "C43", "C62", "C14", "C98", "C93", "C54", "C22", "C88", "C81", "D0"]]</x:v>
      </x:c>
    </x:row>
    <x:row r="51">
      <x:c r="A51" s="18" t="str">
        <x:v>results/week6/main_fixed1000/alns_vrptw_summary.csv</x:v>
      </x:c>
      <x:c r="B51" s="18" t="str">
        <x:v>ALNS_VRPTW</x:v>
      </x:c>
      <x:c r="C51" s="18" t="str">
        <x:v>ALNS_VRPTW</x:v>
      </x:c>
      <x:c r="D51" s="18" t="str">
        <x:v>rc201C10</x:v>
      </x:c>
      <x:c r="E51" s="19" t="n">
        <x:v>65</x:v>
      </x:c>
      <x:c r="F51" s="18" t="str">
        <x:v>RC</x:v>
      </x:c>
      <x:c r="G51" s="19" t="n">
        <x:v>10</x:v>
      </x:c>
      <x:c r="H51" s="18" t="n">
        <x:v>1</x:v>
      </x:c>
      <x:c r="I51" s="19" t="n">
        <x:v>1</x:v>
      </x:c>
      <x:c r="J51" s="20" t="n">
        <x:v>399.645781</x:v>
      </x:c>
      <x:c r="K51" s="20" t="n">
        <x:v>1.206621</x:v>
      </x:c>
      <x:c r="L51" s="19" t="n">
        <x:v>1000</x:v>
      </x:c>
      <x:c r="M51" s="19" t="n">
        <x:v>0</x:v>
      </x:c>
      <x:c r="N51" s="19" t="n">
        <x:v>981</x:v>
      </x:c>
      <x:c r="O51" s="19" t="n">
        <x:v>0</x:v>
      </x:c>
      <x:c r="P51" s="19" t="n">
        <x:v>981</x:v>
      </x:c>
      <x:c r="Q51" s="19" t="n">
        <x:v>0</x:v>
      </x:c>
      <x:c r="R51" s="21" t="n">
        <x:f>P51/L51</x:f>
        <x:v>0.981</x:v>
      </x:c>
      <x:c r="S51" s="18" t="str">
        <x:v>iteration_limit</x:v>
      </x:c>
      <x:c r="T51" s="22" t="b">
        <x:v>0</x:v>
      </x:c>
      <x:c r="U51" s="19" t="n">
        <x:v>0</x:v>
      </x:c>
      <x:c r="V51" s="19" t="n">
        <x:v>0</x:v>
      </x:c>
      <x:c r="W51" s="19" t="n">
        <x:v>0</x:v>
      </x:c>
      <x:c r="X51" s="22" t="b">
        <x:v>0</x:v>
      </x:c>
      <x:c r="Y51" s="20" t="n">
        <x:v>0</x:v>
      </x:c>
      <x:c r="Z51" s="20" t="n">
        <x:v>0</x:v>
      </x:c>
      <x:c r="AA51" s="20" t="n">
        <x:v>1875.763236</x:v>
      </x:c>
      <x:c r="AB51" s="20" t="n">
        <x:v>-321.895781</x:v>
      </x:c>
      <x:c r="AC51" s="20" t="n">
        <x:v>0</x:v>
      </x:c>
      <x:c r="AD51" s="20" t="n">
        <x:v>0</x:v>
      </x:c>
      <x:c r="AE51" s="20" t="n">
        <x:v>306.395814</x:v>
      </x:c>
      <x:c r="AF51" s="18" t="str">
        <x:v>{"random_removal": 0.011529215046068483, "related_removal": 0.011529215046068483, "worst_removal": 0.011529215046068483}</x:v>
      </x:c>
      <x:c r="AG51" s="18" t="str">
        <x:v>{"greedy_insertion": 0.011529215046068483, "regret_2_insertion": 0.011529215046068483}</x:v>
      </x:c>
      <x:c r="AH51" s="18" t="str">
        <x:v>[["D0", "C79", "C43", "C62", "C14", "C98", "C93", "C54", "C22", "C88", "C81", "D0"]]</x:v>
      </x:c>
    </x:row>
    <x:row r="52">
      <x:c r="A52" s="18" t="str">
        <x:v>results/week6/main_fixed1000/alns_vrptw_summary.csv</x:v>
      </x:c>
      <x:c r="B52" s="18" t="str">
        <x:v>ALNS_VRPTW</x:v>
      </x:c>
      <x:c r="C52" s="18" t="str">
        <x:v>ALNS_VRPTW</x:v>
      </x:c>
      <x:c r="D52" s="18" t="str">
        <x:v>rc201C10</x:v>
      </x:c>
      <x:c r="E52" s="19" t="n">
        <x:v>66</x:v>
      </x:c>
      <x:c r="F52" s="18" t="str">
        <x:v>RC</x:v>
      </x:c>
      <x:c r="G52" s="19" t="n">
        <x:v>10</x:v>
      </x:c>
      <x:c r="H52" s="18" t="n">
        <x:v>1</x:v>
      </x:c>
      <x:c r="I52" s="19" t="n">
        <x:v>1</x:v>
      </x:c>
      <x:c r="J52" s="20" t="n">
        <x:v>399.645781</x:v>
      </x:c>
      <x:c r="K52" s="20" t="n">
        <x:v>1.314743</x:v>
      </x:c>
      <x:c r="L52" s="19" t="n">
        <x:v>1000</x:v>
      </x:c>
      <x:c r="M52" s="19" t="n">
        <x:v>0</x:v>
      </x:c>
      <x:c r="N52" s="19" t="n">
        <x:v>972</x:v>
      </x:c>
      <x:c r="O52" s="19" t="n">
        <x:v>0</x:v>
      </x:c>
      <x:c r="P52" s="19" t="n">
        <x:v>972</x:v>
      </x:c>
      <x:c r="Q52" s="19" t="n">
        <x:v>0</x:v>
      </x:c>
      <x:c r="R52" s="21" t="n">
        <x:f>P52/L52</x:f>
        <x:v>0.972</x:v>
      </x:c>
      <x:c r="S52" s="18" t="str">
        <x:v>iteration_limit</x:v>
      </x:c>
      <x:c r="T52" s="22" t="b">
        <x:v>0</x:v>
      </x:c>
      <x:c r="U52" s="19" t="n">
        <x:v>0</x:v>
      </x:c>
      <x:c r="V52" s="19" t="n">
        <x:v>0</x:v>
      </x:c>
      <x:c r="W52" s="19" t="n">
        <x:v>0</x:v>
      </x:c>
      <x:c r="X52" s="22" t="b">
        <x:v>0</x:v>
      </x:c>
      <x:c r="Y52" s="20" t="n">
        <x:v>0</x:v>
      </x:c>
      <x:c r="Z52" s="20" t="n">
        <x:v>0</x:v>
      </x:c>
      <x:c r="AA52" s="20" t="n">
        <x:v>1875.763236</x:v>
      </x:c>
      <x:c r="AB52" s="20" t="n">
        <x:v>-321.895781</x:v>
      </x:c>
      <x:c r="AC52" s="20" t="n">
        <x:v>0</x:v>
      </x:c>
      <x:c r="AD52" s="20" t="n">
        <x:v>0</x:v>
      </x:c>
      <x:c r="AE52" s="20" t="n">
        <x:v>306.395814</x:v>
      </x:c>
      <x:c r="AF52" s="18" t="str">
        <x:v>{"random_removal": 0.011529215046068483, "related_removal": 0.011529215046068483, "worst_removal": 0.011529215046068483}</x:v>
      </x:c>
      <x:c r="AG52" s="18" t="str">
        <x:v>{"greedy_insertion": 0.011529215046068483, "regret_2_insertion": 0.011529215046068483}</x:v>
      </x:c>
      <x:c r="AH52" s="18" t="str">
        <x:v>[["D0", "C79", "C43", "C62", "C14", "C98", "C93", "C54", "C22", "C88", "C81", "D0"]]</x:v>
      </x:c>
    </x:row>
    <x:row r="53">
      <x:c r="A53" s="18" t="str">
        <x:v>results/week6/main_fixed1000/alns_vrptw_summary.csv</x:v>
      </x:c>
      <x:c r="B53" s="18" t="str">
        <x:v>ALNS_VRPTW</x:v>
      </x:c>
      <x:c r="C53" s="18" t="str">
        <x:v>ALNS_VRPTW</x:v>
      </x:c>
      <x:c r="D53" s="18" t="str">
        <x:v>rc202C15</x:v>
      </x:c>
      <x:c r="E53" s="19" t="n">
        <x:v>64</x:v>
      </x:c>
      <x:c r="F53" s="18" t="str">
        <x:v>RC</x:v>
      </x:c>
      <x:c r="G53" s="19" t="n">
        <x:v>15</x:v>
      </x:c>
      <x:c r="H53" s="18" t="n">
        <x:v>1</x:v>
      </x:c>
      <x:c r="I53" s="19" t="n">
        <x:v>1</x:v>
      </x:c>
      <x:c r="J53" s="20" t="n">
        <x:v>599.872561</x:v>
      </x:c>
      <x:c r="K53" s="20" t="n">
        <x:v>3.749764</x:v>
      </x:c>
      <x:c r="L53" s="19" t="n">
        <x:v>1000</x:v>
      </x:c>
      <x:c r="M53" s="19" t="n">
        <x:v>4</x:v>
      </x:c>
      <x:c r="N53" s="19" t="n">
        <x:v>970</x:v>
      </x:c>
      <x:c r="O53" s="19" t="n">
        <x:v>3</x:v>
      </x:c>
      <x:c r="P53" s="19" t="n">
        <x:v>965</x:v>
      </x:c>
      <x:c r="Q53" s="19" t="n">
        <x:v>2</x:v>
      </x:c>
      <x:c r="R53" s="21" t="n">
        <x:f>P53/L53</x:f>
        <x:v>0.965</x:v>
      </x:c>
      <x:c r="S53" s="18" t="str">
        <x:v>iteration_limit</x:v>
      </x:c>
      <x:c r="T53" s="22" t="b">
        <x:v>0</x:v>
      </x:c>
      <x:c r="U53" s="19" t="n">
        <x:v>0</x:v>
      </x:c>
      <x:c r="V53" s="19" t="n">
        <x:v>0</x:v>
      </x:c>
      <x:c r="W53" s="19" t="n">
        <x:v>0</x:v>
      </x:c>
      <x:c r="X53" s="22" t="b">
        <x:v>0</x:v>
      </x:c>
      <x:c r="Y53" s="20" t="n">
        <x:v>0</x:v>
      </x:c>
      <x:c r="Z53" s="20" t="n">
        <x:v>0</x:v>
      </x:c>
      <x:c r="AA53" s="20" t="n">
        <x:v>3478.022375</x:v>
      </x:c>
      <x:c r="AB53" s="20" t="n">
        <x:v>-522.122561</x:v>
      </x:c>
      <x:c r="AC53" s="20" t="n">
        <x:v>0</x:v>
      </x:c>
      <x:c r="AD53" s="20" t="n">
        <x:v>0</x:v>
      </x:c>
      <x:c r="AE53" s="20" t="n">
        <x:v>187.027175</x:v>
      </x:c>
      <x:c r="AF53" s="18" t="str">
        <x:v>{"random_removal": 0.012962178563868188, "related_removal": 0.012512896017309936, "worst_removal": 0.011529215046068483}</x:v>
      </x:c>
      <x:c r="AG53" s="18" t="str">
        <x:v>{"greedy_insertion": 0.013115867837865164, "regret_2_insertion": 0.012092164999489797}</x:v>
      </x:c>
      <x:c r="AH53" s="18" t="str">
        <x:v>[["D0", "C43", "C90", "C57", "C72", "C37", "C1", "C47", "C11", "C52", "C18", "C95", "C64", "C45", "C50", "C46", "D0"]]</x:v>
      </x:c>
    </x:row>
    <x:row r="54">
      <x:c r="A54" s="18" t="str">
        <x:v>results/week6/main_fixed1000/alns_vrptw_summary.csv</x:v>
      </x:c>
      <x:c r="B54" s="18" t="str">
        <x:v>ALNS_VRPTW</x:v>
      </x:c>
      <x:c r="C54" s="18" t="str">
        <x:v>ALNS_VRPTW</x:v>
      </x:c>
      <x:c r="D54" s="18" t="str">
        <x:v>rc202C15</x:v>
      </x:c>
      <x:c r="E54" s="19" t="n">
        <x:v>65</x:v>
      </x:c>
      <x:c r="F54" s="18" t="str">
        <x:v>RC</x:v>
      </x:c>
      <x:c r="G54" s="19" t="n">
        <x:v>15</x:v>
      </x:c>
      <x:c r="H54" s="18" t="n">
        <x:v>1</x:v>
      </x:c>
      <x:c r="I54" s="19" t="n">
        <x:v>1</x:v>
      </x:c>
      <x:c r="J54" s="20" t="n">
        <x:v>599.872561</x:v>
      </x:c>
      <x:c r="K54" s="20" t="n">
        <x:v>3.614399</x:v>
      </x:c>
      <x:c r="L54" s="19" t="n">
        <x:v>1000</x:v>
      </x:c>
      <x:c r="M54" s="19" t="n">
        <x:v>7</x:v>
      </x:c>
      <x:c r="N54" s="19" t="n">
        <x:v>974</x:v>
      </x:c>
      <x:c r="O54" s="19" t="n">
        <x:v>7</x:v>
      </x:c>
      <x:c r="P54" s="19" t="n">
        <x:v>963</x:v>
      </x:c>
      <x:c r="Q54" s="19" t="n">
        <x:v>4</x:v>
      </x:c>
      <x:c r="R54" s="21" t="n">
        <x:f>P54/L54</x:f>
        <x:v>0.963</x:v>
      </x:c>
      <x:c r="S54" s="18" t="str">
        <x:v>iteration_limit</x:v>
      </x:c>
      <x:c r="T54" s="22" t="b">
        <x:v>0</x:v>
      </x:c>
      <x:c r="U54" s="19" t="n">
        <x:v>0</x:v>
      </x:c>
      <x:c r="V54" s="19" t="n">
        <x:v>0</x:v>
      </x:c>
      <x:c r="W54" s="19" t="n">
        <x:v>0</x:v>
      </x:c>
      <x:c r="X54" s="22" t="b">
        <x:v>0</x:v>
      </x:c>
      <x:c r="Y54" s="20" t="n">
        <x:v>0</x:v>
      </x:c>
      <x:c r="Z54" s="20" t="n">
        <x:v>0</x:v>
      </x:c>
      <x:c r="AA54" s="20" t="n">
        <x:v>3478.022375</x:v>
      </x:c>
      <x:c r="AB54" s="20" t="n">
        <x:v>-522.122561</x:v>
      </x:c>
      <x:c r="AC54" s="20" t="n">
        <x:v>0</x:v>
      </x:c>
      <x:c r="AD54" s="20" t="n">
        <x:v>0</x:v>
      </x:c>
      <x:c r="AE54" s="20" t="n">
        <x:v>187.027175</x:v>
      </x:c>
      <x:c r="AF54" s="18" t="str">
        <x:v>{"random_removal": 0.013563782407139397, "related_removal": 0.013550830878799242, "worst_removal": 0.012682136550675334}</x:v>
      </x:c>
      <x:c r="AG54" s="18" t="str">
        <x:v>{"greedy_insertion": 0.01258456595382225, "regret_2_insertion": 0.014339383229138546}</x:v>
      </x:c>
      <x:c r="AH54" s="18" t="str">
        <x:v>[["D0", "C43", "C90", "C57", "C72", "C37", "C1", "C47", "C11", "C52", "C18", "C95", "C64", "C45", "C50", "C46", "D0"]]</x:v>
      </x:c>
    </x:row>
    <x:row r="55">
      <x:c r="A55" s="18" t="str">
        <x:v>results/week6/main_fixed1000/alns_vrptw_summary.csv</x:v>
      </x:c>
      <x:c r="B55" s="18" t="str">
        <x:v>ALNS_VRPTW</x:v>
      </x:c>
      <x:c r="C55" s="18" t="str">
        <x:v>ALNS_VRPTW</x:v>
      </x:c>
      <x:c r="D55" s="18" t="str">
        <x:v>rc202C15</x:v>
      </x:c>
      <x:c r="E55" s="19" t="n">
        <x:v>66</x:v>
      </x:c>
      <x:c r="F55" s="18" t="str">
        <x:v>RC</x:v>
      </x:c>
      <x:c r="G55" s="19" t="n">
        <x:v>15</x:v>
      </x:c>
      <x:c r="H55" s="18" t="n">
        <x:v>1</x:v>
      </x:c>
      <x:c r="I55" s="19" t="n">
        <x:v>1</x:v>
      </x:c>
      <x:c r="J55" s="20" t="n">
        <x:v>599.872561</x:v>
      </x:c>
      <x:c r="K55" s="20" t="n">
        <x:v>3.832613</x:v>
      </x:c>
      <x:c r="L55" s="19" t="n">
        <x:v>1000</x:v>
      </x:c>
      <x:c r="M55" s="19" t="n">
        <x:v>1</x:v>
      </x:c>
      <x:c r="N55" s="19" t="n">
        <x:v>974</x:v>
      </x:c>
      <x:c r="O55" s="19" t="n">
        <x:v>1</x:v>
      </x:c>
      <x:c r="P55" s="19" t="n">
        <x:v>973</x:v>
      </x:c>
      <x:c r="Q55" s="19" t="n">
        <x:v>0</x:v>
      </x:c>
      <x:c r="R55" s="21" t="n">
        <x:f>P55/L55</x:f>
        <x:v>0.973</x:v>
      </x:c>
      <x:c r="S55" s="18" t="str">
        <x:v>iteration_limit</x:v>
      </x:c>
      <x:c r="T55" s="22" t="b">
        <x:v>0</x:v>
      </x:c>
      <x:c r="U55" s="19" t="n">
        <x:v>0</x:v>
      </x:c>
      <x:c r="V55" s="19" t="n">
        <x:v>0</x:v>
      </x:c>
      <x:c r="W55" s="19" t="n">
        <x:v>0</x:v>
      </x:c>
      <x:c r="X55" s="22" t="b">
        <x:v>0</x:v>
      </x:c>
      <x:c r="Y55" s="20" t="n">
        <x:v>0</x:v>
      </x:c>
      <x:c r="Z55" s="20" t="n">
        <x:v>0</x:v>
      </x:c>
      <x:c r="AA55" s="20" t="n">
        <x:v>3478.022375</x:v>
      </x:c>
      <x:c r="AB55" s="20" t="n">
        <x:v>-522.122561</x:v>
      </x:c>
      <x:c r="AC55" s="20" t="n">
        <x:v>0</x:v>
      </x:c>
      <x:c r="AD55" s="20" t="n">
        <x:v>0</x:v>
      </x:c>
      <x:c r="AE55" s="20" t="n">
        <x:v>187.027175</x:v>
      </x:c>
      <x:c r="AF55" s="18" t="str">
        <x:v>{"random_removal": 0.012184284082776914, "related_removal": 0.011529215046068483, "worst_removal": 0.011529215046068483}</x:v>
      </x:c>
      <x:c r="AG55" s="18" t="str">
        <x:v>{"greedy_insertion": 0.012129694996384555, "regret_2_insertion": 0.011529215046068483}</x:v>
      </x:c>
      <x:c r="AH55" s="18" t="str">
        <x:v>[["D0", "C43", "C90", "C57", "C72", "C37", "C1", "C47", "C11", "C52", "C18", "C95", "C64", "C45", "C50", "C46", "D0"]]</x:v>
      </x:c>
    </x:row>
    <x:row r="56">
      <x:c r="A56" s="18" t="str">
        <x:v>results/week6/main_fixed1000/alns_evrptw_summary.csv</x:v>
      </x:c>
      <x:c r="B56" s="18" t="str">
        <x:v>Full_ALNS_EVRPTW</x:v>
      </x:c>
      <x:c r="C56" s="18" t="str">
        <x:v>ALNS_EVRPTW_FULL_RECHARGE</x:v>
      </x:c>
      <x:c r="D56" s="18" t="str">
        <x:v>c101C5</x:v>
      </x:c>
      <x:c r="E56" s="19" t="n">
        <x:v>64</x:v>
      </x:c>
      <x:c r="F56" s="18" t="str">
        <x:v>C</x:v>
      </x:c>
      <x:c r="G56" s="19" t="n">
        <x:v>5</x:v>
      </x:c>
      <x:c r="H56" s="18" t="n">
        <x:v>1</x:v>
      </x:c>
      <x:c r="I56" s="19" t="n">
        <x:v>3</x:v>
      </x:c>
      <x:c r="J56" s="20" t="n">
        <x:v>247.149706</x:v>
      </x:c>
      <x:c r="K56" s="20" t="n">
        <x:v>1.139474</x:v>
      </x:c>
      <x:c r="L56" s="19" t="n">
        <x:v>1000</x:v>
      </x:c>
      <x:c r="M56" s="19" t="n">
        <x:v>3</x:v>
      </x:c>
      <x:c r="N56" s="19" t="n">
        <x:v>1000</x:v>
      </x:c>
      <x:c r="O56" s="19" t="n">
        <x:v>1</x:v>
      </x:c>
      <x:c r="P56" s="19" t="n">
        <x:v>999</x:v>
      </x:c>
      <x:c r="Q56" s="19" t="n">
        <x:v>0</x:v>
      </x:c>
      <x:c r="R56" s="21" t="n">
        <x:f>P56/L56</x:f>
        <x:v>0.999</x:v>
      </x:c>
      <x:c r="S56" s="18" t="str">
        <x:v>iteration_limit</x:v>
      </x:c>
      <x:c r="T56" s="22" t="b">
        <x:v>0</x:v>
      </x:c>
      <x:c r="U56" s="19" t="n">
        <x:v>0</x:v>
      </x:c>
      <x:c r="V56" s="19" t="n">
        <x:v>0</x:v>
      </x:c>
      <x:c r="W56" s="19" t="n">
        <x:v>0</x:v>
      </x:c>
      <x:c r="X56" s="22" t="b">
        <x:v>0</x:v>
      </x:c>
      <x:c r="Y56" s="20" t="n">
        <x:v>0</x:v>
      </x:c>
      <x:c r="Z56" s="20" t="n">
        <x:v>0</x:v>
      </x:c>
      <x:c r="AA56" s="20" t="n">
        <x:v>0</x:v>
      </x:c>
      <x:c r="AB56" s="20" t="n">
        <x:v>2.113492</x:v>
      </x:c>
      <x:c r="AC56" s="20" t="n">
        <x:v>2</x:v>
      </x:c>
      <x:c r="AD56" s="20" t="n">
        <x:v>236.59311</x:v>
      </x:c>
      <x:c r="AE56" s="20" t="n">
        <x:v>1260.683715</x:v>
      </x:c>
      <x:c r="AF56" s="18" t="str">
        <x:v>{"random_removal": 0.01232985497982324, "related_removal": 0.011529215046068483, "worst_removal": 0.011529215046068483}</x:v>
      </x:c>
      <x:c r="AG56" s="18" t="str">
        <x:v>{"greedy_insertion": 0.012129694996384555, "regret_2_insertion": 0.011529215046068483}</x:v>
      </x:c>
      <x:c r="AH56" s="18" t="str">
        <x:v>[["D0", "C12", "S5", "C100", "D0"], ["D0", "S15", "C64", "C85", "D0"], ["D0", "C30", "D0"]]</x:v>
      </x:c>
    </x:row>
    <x:row r="57">
      <x:c r="A57" s="18" t="str">
        <x:v>results/week6/main_fixed1000/alns_evrptw_summary.csv</x:v>
      </x:c>
      <x:c r="B57" s="18" t="str">
        <x:v>Full_ALNS_EVRPTW</x:v>
      </x:c>
      <x:c r="C57" s="18" t="str">
        <x:v>ALNS_EVRPTW_FULL_RECHARGE</x:v>
      </x:c>
      <x:c r="D57" s="18" t="str">
        <x:v>c101C5</x:v>
      </x:c>
      <x:c r="E57" s="19" t="n">
        <x:v>65</x:v>
      </x:c>
      <x:c r="F57" s="18" t="str">
        <x:v>C</x:v>
      </x:c>
      <x:c r="G57" s="19" t="n">
        <x:v>5</x:v>
      </x:c>
      <x:c r="H57" s="18" t="n">
        <x:v>1</x:v>
      </x:c>
      <x:c r="I57" s="19" t="n">
        <x:v>3</x:v>
      </x:c>
      <x:c r="J57" s="20" t="n">
        <x:v>247.149706</x:v>
      </x:c>
      <x:c r="K57" s="20" t="n">
        <x:v>1.16619</x:v>
      </x:c>
      <x:c r="L57" s="19" t="n">
        <x:v>1000</x:v>
      </x:c>
      <x:c r="M57" s="19" t="n">
        <x:v>12</x:v>
      </x:c>
      <x:c r="N57" s="19" t="n">
        <x:v>1000</x:v>
      </x:c>
      <x:c r="O57" s="19" t="n">
        <x:v>2</x:v>
      </x:c>
      <x:c r="P57" s="19" t="n">
        <x:v>998</x:v>
      </x:c>
      <x:c r="Q57" s="19" t="n">
        <x:v>0</x:v>
      </x:c>
      <x:c r="R57" s="21" t="n">
        <x:f>P57/L57</x:f>
        <x:v>0.998</x:v>
      </x:c>
      <x:c r="S57" s="18" t="str">
        <x:v>iteration_limit</x:v>
      </x:c>
      <x:c r="T57" s="22" t="b">
        <x:v>0</x:v>
      </x:c>
      <x:c r="U57" s="19" t="n">
        <x:v>0</x:v>
      </x:c>
      <x:c r="V57" s="19" t="n">
        <x:v>0</x:v>
      </x:c>
      <x:c r="W57" s="19" t="n">
        <x:v>0</x:v>
      </x:c>
      <x:c r="X57" s="22" t="b">
        <x:v>0</x:v>
      </x:c>
      <x:c r="Y57" s="20" t="n">
        <x:v>0</x:v>
      </x:c>
      <x:c r="Z57" s="20" t="n">
        <x:v>0</x:v>
      </x:c>
      <x:c r="AA57" s="20" t="n">
        <x:v>0</x:v>
      </x:c>
      <x:c r="AB57" s="20" t="n">
        <x:v>2.113492</x:v>
      </x:c>
      <x:c r="AC57" s="20" t="n">
        <x:v>2</x:v>
      </x:c>
      <x:c r="AD57" s="20" t="n">
        <x:v>236.59311</x:v>
      </x:c>
      <x:c r="AE57" s="20" t="n">
        <x:v>1260.683715</x:v>
      </x:c>
      <x:c r="AF57" s="18" t="str">
        <x:v>{"random_removal": 0.012489982966574187, "related_removal": 0.012429934971542581, "worst_removal": 0.011529215046068483}</x:v>
      </x:c>
      <x:c r="AG57" s="18" t="str">
        <x:v>{"greedy_insertion": 0.011529215046068483, "regret_2_insertion": 0.012558609246610312}</x:v>
      </x:c>
      <x:c r="AH57" s="18" t="str">
        <x:v>[["D0", "C30", "D0"], ["D0", "S15", "C64", "C85", "D0"], ["D0", "C12", "S5", "C100", "D0"]]</x:v>
      </x:c>
    </x:row>
    <x:row r="58">
      <x:c r="A58" s="18" t="str">
        <x:v>results/week6/main_fixed1000/alns_evrptw_summary.csv</x:v>
      </x:c>
      <x:c r="B58" s="18" t="str">
        <x:v>Full_ALNS_EVRPTW</x:v>
      </x:c>
      <x:c r="C58" s="18" t="str">
        <x:v>ALNS_EVRPTW_FULL_RECHARGE</x:v>
      </x:c>
      <x:c r="D58" s="18" t="str">
        <x:v>c101C5</x:v>
      </x:c>
      <x:c r="E58" s="19" t="n">
        <x:v>66</x:v>
      </x:c>
      <x:c r="F58" s="18" t="str">
        <x:v>C</x:v>
      </x:c>
      <x:c r="G58" s="19" t="n">
        <x:v>5</x:v>
      </x:c>
      <x:c r="H58" s="18" t="n">
        <x:v>1</x:v>
      </x:c>
      <x:c r="I58" s="19" t="n">
        <x:v>3</x:v>
      </x:c>
      <x:c r="J58" s="20" t="n">
        <x:v>247.149706</x:v>
      </x:c>
      <x:c r="K58" s="20" t="n">
        <x:v>1.183372</x:v>
      </x:c>
      <x:c r="L58" s="19" t="n">
        <x:v>1000</x:v>
      </x:c>
      <x:c r="M58" s="19" t="n">
        <x:v>6</x:v>
      </x:c>
      <x:c r="N58" s="19" t="n">
        <x:v>1000</x:v>
      </x:c>
      <x:c r="O58" s="19" t="n">
        <x:v>1</x:v>
      </x:c>
      <x:c r="P58" s="19" t="n">
        <x:v>999</x:v>
      </x:c>
      <x:c r="Q58" s="19" t="n">
        <x:v>0</x:v>
      </x:c>
      <x:c r="R58" s="21" t="n">
        <x:f>P58/L58</x:f>
        <x:v>0.999</x:v>
      </x:c>
      <x:c r="S58" s="18" t="str">
        <x:v>iteration_limit</x:v>
      </x:c>
      <x:c r="T58" s="22" t="b">
        <x:v>0</x:v>
      </x:c>
      <x:c r="U58" s="19" t="n">
        <x:v>0</x:v>
      </x:c>
      <x:c r="V58" s="19" t="n">
        <x:v>0</x:v>
      </x:c>
      <x:c r="W58" s="19" t="n">
        <x:v>0</x:v>
      </x:c>
      <x:c r="X58" s="22" t="b">
        <x:v>0</x:v>
      </x:c>
      <x:c r="Y58" s="20" t="n">
        <x:v>0</x:v>
      </x:c>
      <x:c r="Z58" s="20" t="n">
        <x:v>0</x:v>
      </x:c>
      <x:c r="AA58" s="20" t="n">
        <x:v>0</x:v>
      </x:c>
      <x:c r="AB58" s="20" t="n">
        <x:v>2.113492</x:v>
      </x:c>
      <x:c r="AC58" s="20" t="n">
        <x:v>2</x:v>
      </x:c>
      <x:c r="AD58" s="20" t="n">
        <x:v>236.59311</x:v>
      </x:c>
      <x:c r="AE58" s="20" t="n">
        <x:v>1260.683715</x:v>
      </x:c>
      <x:c r="AF58" s="18" t="str">
        <x:v>{"random_removal": 0.011529215046068483, "related_removal": 0.011529215046068483, "worst_removal": 0.012558609246610312}</x:v>
      </x:c>
      <x:c r="AG58" s="18" t="str">
        <x:v>{"greedy_insertion": 0.011529215046068483, "regret_2_insertion": 0.012009599006321335}</x:v>
      </x:c>
      <x:c r="AH58" s="18" t="str">
        <x:v>[["D0", "C12", "S5", "C100", "D0"], ["D0", "S15", "C64", "C85", "D0"], ["D0", "C30", "D0"]]</x:v>
      </x:c>
    </x:row>
    <x:row r="59">
      <x:c r="A59" s="18" t="str">
        <x:v>results/week6/main_fixed1000/alns_evrptw_summary.csv</x:v>
      </x:c>
      <x:c r="B59" s="18" t="str">
        <x:v>Full_ALNS_EVRPTW</x:v>
      </x:c>
      <x:c r="C59" s="18" t="str">
        <x:v>ALNS_EVRPTW_FULL_RECHARGE</x:v>
      </x:c>
      <x:c r="D59" s="18" t="str">
        <x:v>c101C10</x:v>
      </x:c>
      <x:c r="E59" s="19" t="n">
        <x:v>64</x:v>
      </x:c>
      <x:c r="F59" s="18" t="str">
        <x:v>C</x:v>
      </x:c>
      <x:c r="G59" s="19" t="n">
        <x:v>10</x:v>
      </x:c>
      <x:c r="H59" s="18" t="n">
        <x:v>1</x:v>
      </x:c>
      <x:c r="I59" s="19" t="n">
        <x:v>3</x:v>
      </x:c>
      <x:c r="J59" s="20" t="n">
        <x:v>408.477828</x:v>
      </x:c>
      <x:c r="K59" s="20" t="n">
        <x:v>21.797258</x:v>
      </x:c>
      <x:c r="L59" s="19" t="n">
        <x:v>1000</x:v>
      </x:c>
      <x:c r="M59" s="19" t="n">
        <x:v>24</x:v>
      </x:c>
      <x:c r="N59" s="19" t="n">
        <x:v>924</x:v>
      </x:c>
      <x:c r="O59" s="19" t="n">
        <x:v>6</x:v>
      </x:c>
      <x:c r="P59" s="19" t="n">
        <x:v>911</x:v>
      </x:c>
      <x:c r="Q59" s="19" t="n">
        <x:v>7</x:v>
      </x:c>
      <x:c r="R59" s="21" t="n">
        <x:f>P59/L59</x:f>
        <x:v>0.911</x:v>
      </x:c>
      <x:c r="S59" s="18" t="str">
        <x:v>iteration_limit</x:v>
      </x:c>
      <x:c r="T59" s="22" t="b">
        <x:v>0</x:v>
      </x:c>
      <x:c r="U59" s="19" t="n">
        <x:v>0</x:v>
      </x:c>
      <x:c r="V59" s="19" t="n">
        <x:v>0</x:v>
      </x:c>
      <x:c r="W59" s="19" t="n">
        <x:v>0</x:v>
      </x:c>
      <x:c r="X59" s="22" t="b">
        <x:v>0</x:v>
      </x:c>
      <x:c r="Y59" s="20" t="n">
        <x:v>0</x:v>
      </x:c>
      <x:c r="Z59" s="20" t="n">
        <x:v>0</x:v>
      </x:c>
      <x:c r="AA59" s="20" t="n">
        <x:v>0</x:v>
      </x:c>
      <x:c r="AB59" s="20" t="n">
        <x:v>8.21048</x:v>
      </x:c>
      <x:c r="AC59" s="20" t="n">
        <x:v>5</x:v>
      </x:c>
      <x:c r="AD59" s="20" t="n">
        <x:v>900.952858</x:v>
      </x:c>
      <x:c r="AE59" s="20" t="n">
        <x:v>1191.11285</x:v>
      </x:c>
      <x:c r="AF59" s="18" t="str">
        <x:v>{"random_removal": 0.016455027138504958, "related_removal": 0.014498859784340673, "worst_removal": 0.01249427210907645}</x:v>
      </x:c>
      <x:c r="AG59" s="18" t="str">
        <x:v>{"greedy_insertion": 0.015454503666043895, "regret_2_insertion": 0.013288433650510082}</x:v>
      </x:c>
      <x:c r="AH59" s="18" t="str">
        <x:v>[["D0", "C98", "S1", "C78", "S1", "C89", "D0"], ["D0", "C96", "C95", "S3", "C4", "C100", "S3", "C13", "D0"], ["D0", "C27", "C54", "S16", "D0"]]</x:v>
      </x:c>
    </x:row>
    <x:row r="60">
      <x:c r="A60" s="18" t="str">
        <x:v>results/week6/main_fixed1000/alns_evrptw_summary.csv</x:v>
      </x:c>
      <x:c r="B60" s="18" t="str">
        <x:v>Full_ALNS_EVRPTW</x:v>
      </x:c>
      <x:c r="C60" s="18" t="str">
        <x:v>ALNS_EVRPTW_FULL_RECHARGE</x:v>
      </x:c>
      <x:c r="D60" s="18" t="str">
        <x:v>c101C10</x:v>
      </x:c>
      <x:c r="E60" s="19" t="n">
        <x:v>65</x:v>
      </x:c>
      <x:c r="F60" s="18" t="str">
        <x:v>C</x:v>
      </x:c>
      <x:c r="G60" s="19" t="n">
        <x:v>10</x:v>
      </x:c>
      <x:c r="H60" s="18" t="n">
        <x:v>1</x:v>
      </x:c>
      <x:c r="I60" s="19" t="n">
        <x:v>3</x:v>
      </x:c>
      <x:c r="J60" s="20" t="n">
        <x:v>408.477828</x:v>
      </x:c>
      <x:c r="K60" s="20" t="n">
        <x:v>22.588583</x:v>
      </x:c>
      <x:c r="L60" s="19" t="n">
        <x:v>1000</x:v>
      </x:c>
      <x:c r="M60" s="19" t="n">
        <x:v>14</x:v>
      </x:c>
      <x:c r="N60" s="19" t="n">
        <x:v>882</x:v>
      </x:c>
      <x:c r="O60" s="19" t="n">
        <x:v>9</x:v>
      </x:c>
      <x:c r="P60" s="19" t="n">
        <x:v>863</x:v>
      </x:c>
      <x:c r="Q60" s="19" t="n">
        <x:v>10</x:v>
      </x:c>
      <x:c r="R60" s="21" t="n">
        <x:f>P60/L60</x:f>
        <x:v>0.863</x:v>
      </x:c>
      <x:c r="S60" s="18" t="str">
        <x:v>iteration_limit</x:v>
      </x:c>
      <x:c r="T60" s="22" t="b">
        <x:v>0</x:v>
      </x:c>
      <x:c r="U60" s="19" t="n">
        <x:v>0</x:v>
      </x:c>
      <x:c r="V60" s="19" t="n">
        <x:v>0</x:v>
      </x:c>
      <x:c r="W60" s="19" t="n">
        <x:v>0</x:v>
      </x:c>
      <x:c r="X60" s="22" t="b">
        <x:v>0</x:v>
      </x:c>
      <x:c r="Y60" s="20" t="n">
        <x:v>0</x:v>
      </x:c>
      <x:c r="Z60" s="20" t="n">
        <x:v>0</x:v>
      </x:c>
      <x:c r="AA60" s="20" t="n">
        <x:v>0</x:v>
      </x:c>
      <x:c r="AB60" s="20" t="n">
        <x:v>8.21048</x:v>
      </x:c>
      <x:c r="AC60" s="20" t="n">
        <x:v>5</x:v>
      </x:c>
      <x:c r="AD60" s="20" t="n">
        <x:v>900.952858</x:v>
      </x:c>
      <x:c r="AE60" s="20" t="n">
        <x:v>1191.11285</x:v>
      </x:c>
      <x:c r="AF60" s="18" t="str">
        <x:v>{"random_removal": 0.013224687846960907, "related_removal": 0.01724196293702997, "worst_removal": 0.011529215046068483}</x:v>
      </x:c>
      <x:c r="AG60" s="18" t="str">
        <x:v>{"greedy_insertion": 0.015035094140606135, "regret_2_insertion": 0.013934667082334616}</x:v>
      </x:c>
      <x:c r="AH60" s="18" t="str">
        <x:v>[["D0", "C98", "S1", "C78", "S1", "C89", "D0"], ["D0", "C96", "C95", "S3", "C4", "C100", "S3", "C13", "D0"], ["D0", "C27", "C54", "S16", "D0"]]</x:v>
      </x:c>
    </x:row>
    <x:row r="61">
      <x:c r="A61" s="18" t="str">
        <x:v>results/week6/main_fixed1000/alns_evrptw_summary.csv</x:v>
      </x:c>
      <x:c r="B61" s="18" t="str">
        <x:v>Full_ALNS_EVRPTW</x:v>
      </x:c>
      <x:c r="C61" s="18" t="str">
        <x:v>ALNS_EVRPTW_FULL_RECHARGE</x:v>
      </x:c>
      <x:c r="D61" s="18" t="str">
        <x:v>c101C10</x:v>
      </x:c>
      <x:c r="E61" s="19" t="n">
        <x:v>66</x:v>
      </x:c>
      <x:c r="F61" s="18" t="str">
        <x:v>C</x:v>
      </x:c>
      <x:c r="G61" s="19" t="n">
        <x:v>10</x:v>
      </x:c>
      <x:c r="H61" s="18" t="n">
        <x:v>1</x:v>
      </x:c>
      <x:c r="I61" s="19" t="n">
        <x:v>3</x:v>
      </x:c>
      <x:c r="J61" s="20" t="n">
        <x:v>408.477828</x:v>
      </x:c>
      <x:c r="K61" s="20" t="n">
        <x:v>22.858427</x:v>
      </x:c>
      <x:c r="L61" s="19" t="n">
        <x:v>1000</x:v>
      </x:c>
      <x:c r="M61" s="19" t="n">
        <x:v>18</x:v>
      </x:c>
      <x:c r="N61" s="19" t="n">
        <x:v>900</x:v>
      </x:c>
      <x:c r="O61" s="19" t="n">
        <x:v>3</x:v>
      </x:c>
      <x:c r="P61" s="19" t="n">
        <x:v>893</x:v>
      </x:c>
      <x:c r="Q61" s="19" t="n">
        <x:v>4</x:v>
      </x:c>
      <x:c r="R61" s="21" t="n">
        <x:f>P61/L61</x:f>
        <x:v>0.893</x:v>
      </x:c>
      <x:c r="S61" s="18" t="str">
        <x:v>iteration_limit</x:v>
      </x:c>
      <x:c r="T61" s="22" t="b">
        <x:v>0</x:v>
      </x:c>
      <x:c r="U61" s="19" t="n">
        <x:v>0</x:v>
      </x:c>
      <x:c r="V61" s="19" t="n">
        <x:v>0</x:v>
      </x:c>
      <x:c r="W61" s="19" t="n">
        <x:v>0</x:v>
      </x:c>
      <x:c r="X61" s="22" t="b">
        <x:v>0</x:v>
      </x:c>
      <x:c r="Y61" s="20" t="n">
        <x:v>0</x:v>
      </x:c>
      <x:c r="Z61" s="20" t="n">
        <x:v>0</x:v>
      </x:c>
      <x:c r="AA61" s="20" t="n">
        <x:v>0</x:v>
      </x:c>
      <x:c r="AB61" s="20" t="n">
        <x:v>8.21048</x:v>
      </x:c>
      <x:c r="AC61" s="20" t="n">
        <x:v>5</x:v>
      </x:c>
      <x:c r="AD61" s="20" t="n">
        <x:v>900.952858</x:v>
      </x:c>
      <x:c r="AE61" s="20" t="n">
        <x:v>1191.11285</x:v>
      </x:c>
      <x:c r="AF61" s="18" t="str">
        <x:v>{"random_removal": 0.013641975156972217, "related_removal": 0.013057436519622876, "worst_removal": 0.011529215046068483}</x:v>
      </x:c>
      <x:c r="AG61" s="18" t="str">
        <x:v>{"greedy_insertion": 0.012377137089547463, "regret_2_insertion": 0.013119765183696544}</x:v>
      </x:c>
      <x:c r="AH61" s="18" t="str">
        <x:v>[["D0", "C98", "S1", "C78", "S1", "C89", "D0"], ["D0", "C96", "C95", "S3", "C4", "C100", "S3", "C13", "D0"], ["D0", "C27", "C54", "S16", "D0"]]</x:v>
      </x:c>
    </x:row>
    <x:row r="62">
      <x:c r="A62" s="18" t="str">
        <x:v>results/week6/main_fixed1000/alns_evrptw_summary.csv</x:v>
      </x:c>
      <x:c r="B62" s="18" t="str">
        <x:v>Full_ALNS_EVRPTW</x:v>
      </x:c>
      <x:c r="C62" s="18" t="str">
        <x:v>ALNS_EVRPTW_FULL_RECHARGE</x:v>
      </x:c>
      <x:c r="D62" s="18" t="str">
        <x:v>c103C15</x:v>
      </x:c>
      <x:c r="E62" s="19" t="n">
        <x:v>64</x:v>
      </x:c>
      <x:c r="F62" s="18" t="str">
        <x:v>C</x:v>
      </x:c>
      <x:c r="G62" s="19" t="n">
        <x:v>15</x:v>
      </x:c>
      <x:c r="H62" s="18" t="n">
        <x:v>1</x:v>
      </x:c>
      <x:c r="I62" s="19" t="n">
        <x:v>3</x:v>
      </x:c>
      <x:c r="J62" s="20" t="n">
        <x:v>392.977769</x:v>
      </x:c>
      <x:c r="K62" s="20" t="n">
        <x:v>79.235737</x:v>
      </x:c>
      <x:c r="L62" s="19" t="n">
        <x:v>1000</x:v>
      </x:c>
      <x:c r="M62" s="19" t="n">
        <x:v>0</x:v>
      </x:c>
      <x:c r="N62" s="19" t="n">
        <x:v>936</x:v>
      </x:c>
      <x:c r="O62" s="19" t="n">
        <x:v>24</x:v>
      </x:c>
      <x:c r="P62" s="19" t="n">
        <x:v>888</x:v>
      </x:c>
      <x:c r="Q62" s="19" t="n">
        <x:v>24</x:v>
      </x:c>
      <x:c r="R62" s="21" t="n">
        <x:f>P62/L62</x:f>
        <x:v>0.888</x:v>
      </x:c>
      <x:c r="S62" s="18" t="str">
        <x:v>iteration_limit</x:v>
      </x:c>
      <x:c r="T62" s="22" t="b">
        <x:v>0</x:v>
      </x:c>
      <x:c r="U62" s="19" t="n">
        <x:v>0</x:v>
      </x:c>
      <x:c r="V62" s="19" t="n">
        <x:v>0</x:v>
      </x:c>
      <x:c r="W62" s="19" t="n">
        <x:v>0</x:v>
      </x:c>
      <x:c r="X62" s="22" t="b">
        <x:v>0</x:v>
      </x:c>
      <x:c r="Y62" s="20" t="n">
        <x:v>0</x:v>
      </x:c>
      <x:c r="Z62" s="20" t="n">
        <x:v>0</x:v>
      </x:c>
      <x:c r="AA62" s="20" t="n">
        <x:v>0</x:v>
      </x:c>
      <x:c r="AB62" s="20" t="n">
        <x:v>1.327451</x:v>
      </x:c>
      <x:c r="AC62" s="20" t="n">
        <x:v>4</x:v>
      </x:c>
      <x:c r="AD62" s="20" t="n">
        <x:v>748.055391</x:v>
      </x:c>
      <x:c r="AE62" s="20" t="n">
        <x:v>1088.375049</x:v>
      </x:c>
      <x:c r="AF62" s="18" t="str">
        <x:v>{"random_removal": 0.0504670568207967, "related_removal": 0.06913535028631475, "worst_removal": 0.022060832197139526}</x:v>
      </x:c>
      <x:c r="AG62" s="18" t="str">
        <x:v>{"greedy_insertion": 0.037462069687244796, "regret_2_insertion": 0.06133547132737526}</x:v>
      </x:c>
      <x:c r="AH62" s="18" t="str">
        <x:v>[["D0", "C59", "C40", "S15", "C61", "C85", "D0"], ["D0", "C30", "C33", "C35", "S13", "C50", "C44", "D0"], ["D0", "C98", "C95", "S3", "C18", "C19", "S7", "C10", "C13", "D0"]]</x:v>
      </x:c>
    </x:row>
    <x:row r="63">
      <x:c r="A63" s="18" t="str">
        <x:v>results/week6/main_fixed1000/alns_evrptw_summary.csv</x:v>
      </x:c>
      <x:c r="B63" s="18" t="str">
        <x:v>Full_ALNS_EVRPTW</x:v>
      </x:c>
      <x:c r="C63" s="18" t="str">
        <x:v>ALNS_EVRPTW_FULL_RECHARGE</x:v>
      </x:c>
      <x:c r="D63" s="18" t="str">
        <x:v>c103C15</x:v>
      </x:c>
      <x:c r="E63" s="19" t="n">
        <x:v>65</x:v>
      </x:c>
      <x:c r="F63" s="18" t="str">
        <x:v>C</x:v>
      </x:c>
      <x:c r="G63" s="19" t="n">
        <x:v>15</x:v>
      </x:c>
      <x:c r="H63" s="18" t="n">
        <x:v>1</x:v>
      </x:c>
      <x:c r="I63" s="19" t="n">
        <x:v>3</x:v>
      </x:c>
      <x:c r="J63" s="20" t="n">
        <x:v>392.977769</x:v>
      </x:c>
      <x:c r="K63" s="20" t="n">
        <x:v>75.180012</x:v>
      </x:c>
      <x:c r="L63" s="19" t="n">
        <x:v>1000</x:v>
      </x:c>
      <x:c r="M63" s="19" t="n">
        <x:v>0</x:v>
      </x:c>
      <x:c r="N63" s="19" t="n">
        <x:v>941</x:v>
      </x:c>
      <x:c r="O63" s="19" t="n">
        <x:v>34</x:v>
      </x:c>
      <x:c r="P63" s="19" t="n">
        <x:v>873</x:v>
      </x:c>
      <x:c r="Q63" s="19" t="n">
        <x:v>34</x:v>
      </x:c>
      <x:c r="R63" s="21" t="n">
        <x:f>P63/L63</x:f>
        <x:v>0.873</x:v>
      </x:c>
      <x:c r="S63" s="18" t="str">
        <x:v>iteration_limit</x:v>
      </x:c>
      <x:c r="T63" s="22" t="b">
        <x:v>0</x:v>
      </x:c>
      <x:c r="U63" s="19" t="n">
        <x:v>0</x:v>
      </x:c>
      <x:c r="V63" s="19" t="n">
        <x:v>0</x:v>
      </x:c>
      <x:c r="W63" s="19" t="n">
        <x:v>0</x:v>
      </x:c>
      <x:c r="X63" s="22" t="b">
        <x:v>0</x:v>
      </x:c>
      <x:c r="Y63" s="20" t="n">
        <x:v>0</x:v>
      </x:c>
      <x:c r="Z63" s="20" t="n">
        <x:v>0</x:v>
      </x:c>
      <x:c r="AA63" s="20" t="n">
        <x:v>0</x:v>
      </x:c>
      <x:c r="AB63" s="20" t="n">
        <x:v>1.327451</x:v>
      </x:c>
      <x:c r="AC63" s="20" t="n">
        <x:v>4</x:v>
      </x:c>
      <x:c r="AD63" s="20" t="n">
        <x:v>748.055391</x:v>
      </x:c>
      <x:c r="AE63" s="20" t="n">
        <x:v>1088.375049</x:v>
      </x:c>
      <x:c r="AF63" s="18" t="str">
        <x:v>{"random_removal": 0.07350302546454994, "related_removal": 0.06915234100129683, "worst_removal": 0.04350815852139589}</x:v>
      </x:c>
      <x:c r="AG63" s="18" t="str">
        <x:v>{"greedy_insertion": 0.07590101009760979, "regret_2_insertion": 0.04198001806243332}</x:v>
      </x:c>
      <x:c r="AH63" s="18" t="str">
        <x:v>[["D0", "C59", "C40", "S15", "C61", "C85", "D0"], ["D0", "C30", "C33", "C35", "S13", "C50", "C44", "D0"], ["D0", "C98", "C95", "S3", "C18", "C19", "S7", "C10", "C13", "D0"]]</x:v>
      </x:c>
    </x:row>
    <x:row r="64">
      <x:c r="A64" s="18" t="str">
        <x:v>results/week6/main_fixed1000/alns_evrptw_summary.csv</x:v>
      </x:c>
      <x:c r="B64" s="18" t="str">
        <x:v>Full_ALNS_EVRPTW</x:v>
      </x:c>
      <x:c r="C64" s="18" t="str">
        <x:v>ALNS_EVRPTW_FULL_RECHARGE</x:v>
      </x:c>
      <x:c r="D64" s="18" t="str">
        <x:v>c103C15</x:v>
      </x:c>
      <x:c r="E64" s="19" t="n">
        <x:v>66</x:v>
      </x:c>
      <x:c r="F64" s="18" t="str">
        <x:v>C</x:v>
      </x:c>
      <x:c r="G64" s="19" t="n">
        <x:v>15</x:v>
      </x:c>
      <x:c r="H64" s="18" t="n">
        <x:v>1</x:v>
      </x:c>
      <x:c r="I64" s="19" t="n">
        <x:v>3</x:v>
      </x:c>
      <x:c r="J64" s="20" t="n">
        <x:v>392.977769</x:v>
      </x:c>
      <x:c r="K64" s="20" t="n">
        <x:v>82.559186</x:v>
      </x:c>
      <x:c r="L64" s="19" t="n">
        <x:v>1000</x:v>
      </x:c>
      <x:c r="M64" s="19" t="n">
        <x:v>0</x:v>
      </x:c>
      <x:c r="N64" s="19" t="n">
        <x:v>928</x:v>
      </x:c>
      <x:c r="O64" s="19" t="n">
        <x:v>32</x:v>
      </x:c>
      <x:c r="P64" s="19" t="n">
        <x:v>864</x:v>
      </x:c>
      <x:c r="Q64" s="19" t="n">
        <x:v>32</x:v>
      </x:c>
      <x:c r="R64" s="21" t="n">
        <x:f>P64/L64</x:f>
        <x:v>0.864</x:v>
      </x:c>
      <x:c r="S64" s="18" t="str">
        <x:v>iteration_limit</x:v>
      </x:c>
      <x:c r="T64" s="22" t="b">
        <x:v>0</x:v>
      </x:c>
      <x:c r="U64" s="19" t="n">
        <x:v>0</x:v>
      </x:c>
      <x:c r="V64" s="19" t="n">
        <x:v>0</x:v>
      </x:c>
      <x:c r="W64" s="19" t="n">
        <x:v>0</x:v>
      </x:c>
      <x:c r="X64" s="22" t="b">
        <x:v>0</x:v>
      </x:c>
      <x:c r="Y64" s="20" t="n">
        <x:v>0</x:v>
      </x:c>
      <x:c r="Z64" s="20" t="n">
        <x:v>0</x:v>
      </x:c>
      <x:c r="AA64" s="20" t="n">
        <x:v>0</x:v>
      </x:c>
      <x:c r="AB64" s="20" t="n">
        <x:v>1.327451</x:v>
      </x:c>
      <x:c r="AC64" s="20" t="n">
        <x:v>4</x:v>
      </x:c>
      <x:c r="AD64" s="20" t="n">
        <x:v>748.055391</x:v>
      </x:c>
      <x:c r="AE64" s="20" t="n">
        <x:v>1088.375049</x:v>
      </x:c>
      <x:c r="AF64" s="18" t="str">
        <x:v>{"random_removal": 0.05901733803037791, "related_removal": 0.1228127358321614, "worst_removal": 0.019080712979035432}</x:v>
      </x:c>
      <x:c r="AG64" s="18" t="str">
        <x:v>{"greedy_insertion": 0.09151660976282044, "regret_2_insertion": 0.06803861807461364}</x:v>
      </x:c>
      <x:c r="AH64" s="18" t="str">
        <x:v>[["D0", "C59", "C40", "S15", "C61", "C85", "D0"], ["D0", "C30", "C33", "C35", "S13", "C50", "C44", "D0"], ["D0", "C98", "C95", "S3", "C18", "C19", "S7", "C10", "C13", "D0"]]</x:v>
      </x:c>
    </x:row>
    <x:row r="65">
      <x:c r="A65" s="18" t="str">
        <x:v>results/week6/main_fixed1000/alns_evrptw_summary.csv</x:v>
      </x:c>
      <x:c r="B65" s="18" t="str">
        <x:v>Full_ALNS_EVRPTW</x:v>
      </x:c>
      <x:c r="C65" s="18" t="str">
        <x:v>ALNS_EVRPTW_FULL_RECHARGE</x:v>
      </x:c>
      <x:c r="D65" s="18" t="str">
        <x:v>c206C5</x:v>
      </x:c>
      <x:c r="E65" s="19" t="n">
        <x:v>64</x:v>
      </x:c>
      <x:c r="F65" s="18" t="str">
        <x:v>C</x:v>
      </x:c>
      <x:c r="G65" s="19" t="n">
        <x:v>5</x:v>
      </x:c>
      <x:c r="H65" s="18" t="n">
        <x:v>1</x:v>
      </x:c>
      <x:c r="I65" s="19" t="n">
        <x:v>1</x:v>
      </x:c>
      <x:c r="J65" s="20" t="n">
        <x:v>242.555652</x:v>
      </x:c>
      <x:c r="K65" s="20" t="n">
        <x:v>2.150285</x:v>
      </x:c>
      <x:c r="L65" s="19" t="n">
        <x:v>1000</x:v>
      </x:c>
      <x:c r="M65" s="19" t="n">
        <x:v>0</x:v>
      </x:c>
      <x:c r="N65" s="19" t="n">
        <x:v>1000</x:v>
      </x:c>
      <x:c r="O65" s="19" t="n">
        <x:v>0</x:v>
      </x:c>
      <x:c r="P65" s="19" t="n">
        <x:v>1000</x:v>
      </x:c>
      <x:c r="Q65" s="19" t="n">
        <x:v>0</x:v>
      </x:c>
      <x:c r="R65" s="21" t="n">
        <x:f>P65/L65</x:f>
        <x:v>1</x:v>
      </x:c>
      <x:c r="S65" s="18" t="str">
        <x:v>iteration_limit</x:v>
      </x:c>
      <x:c r="T65" s="22" t="b">
        <x:v>0</x:v>
      </x:c>
      <x:c r="U65" s="19" t="n">
        <x:v>0</x:v>
      </x:c>
      <x:c r="V65" s="19" t="n">
        <x:v>0</x:v>
      </x:c>
      <x:c r="W65" s="19" t="n">
        <x:v>0</x:v>
      </x:c>
      <x:c r="X65" s="22" t="b">
        <x:v>0</x:v>
      </x:c>
      <x:c r="Y65" s="20" t="n">
        <x:v>0</x:v>
      </x:c>
      <x:c r="Z65" s="20" t="n">
        <x:v>0</x:v>
      </x:c>
      <x:c r="AA65" s="20" t="n">
        <x:v>0</x:v>
      </x:c>
      <x:c r="AB65" s="20" t="n">
        <x:v>1.592269</x:v>
      </x:c>
      <x:c r="AC65" s="20" t="n">
        <x:v>3</x:v>
      </x:c>
      <x:c r="AD65" s="20" t="n">
        <x:v>577.400785</x:v>
      </x:c>
      <x:c r="AE65" s="20" t="n">
        <x:v>1070.388466</x:v>
      </x:c>
      <x:c r="AF65" s="18" t="str">
        <x:v>{"random_removal": 0.011529215046068483, "related_removal": 0.011529215046068483, "worst_removal": 0.011529215046068483}</x:v>
      </x:c>
      <x:c r="AG65" s="18" t="str">
        <x:v>{"greedy_insertion": 0.011529215046068483, "regret_2_insertion": 0.011529215046068483}</x:v>
      </x:c>
      <x:c r="AH65" s="18" t="str">
        <x:v>[["D0", "C75", "S0", "C44", "C53", "S17", "C77", "S0", "C35", "D0"]]</x:v>
      </x:c>
    </x:row>
    <x:row r="66">
      <x:c r="A66" s="18" t="str">
        <x:v>results/week6/main_fixed1000/alns_evrptw_summary.csv</x:v>
      </x:c>
      <x:c r="B66" s="18" t="str">
        <x:v>Full_ALNS_EVRPTW</x:v>
      </x:c>
      <x:c r="C66" s="18" t="str">
        <x:v>ALNS_EVRPTW_FULL_RECHARGE</x:v>
      </x:c>
      <x:c r="D66" s="18" t="str">
        <x:v>c206C5</x:v>
      </x:c>
      <x:c r="E66" s="19" t="n">
        <x:v>65</x:v>
      </x:c>
      <x:c r="F66" s="18" t="str">
        <x:v>C</x:v>
      </x:c>
      <x:c r="G66" s="19" t="n">
        <x:v>5</x:v>
      </x:c>
      <x:c r="H66" s="18" t="n">
        <x:v>1</x:v>
      </x:c>
      <x:c r="I66" s="19" t="n">
        <x:v>1</x:v>
      </x:c>
      <x:c r="J66" s="20" t="n">
        <x:v>242.555652</x:v>
      </x:c>
      <x:c r="K66" s="20" t="n">
        <x:v>2.347707</x:v>
      </x:c>
      <x:c r="L66" s="19" t="n">
        <x:v>1000</x:v>
      </x:c>
      <x:c r="M66" s="19" t="n">
        <x:v>0</x:v>
      </x:c>
      <x:c r="N66" s="19" t="n">
        <x:v>1000</x:v>
      </x:c>
      <x:c r="O66" s="19" t="n">
        <x:v>0</x:v>
      </x:c>
      <x:c r="P66" s="19" t="n">
        <x:v>1000</x:v>
      </x:c>
      <x:c r="Q66" s="19" t="n">
        <x:v>0</x:v>
      </x:c>
      <x:c r="R66" s="21" t="n">
        <x:f>P66/L66</x:f>
        <x:v>1</x:v>
      </x:c>
      <x:c r="S66" s="18" t="str">
        <x:v>iteration_limit</x:v>
      </x:c>
      <x:c r="T66" s="22" t="b">
        <x:v>0</x:v>
      </x:c>
      <x:c r="U66" s="19" t="n">
        <x:v>0</x:v>
      </x:c>
      <x:c r="V66" s="19" t="n">
        <x:v>0</x:v>
      </x:c>
      <x:c r="W66" s="19" t="n">
        <x:v>0</x:v>
      </x:c>
      <x:c r="X66" s="22" t="b">
        <x:v>0</x:v>
      </x:c>
      <x:c r="Y66" s="20" t="n">
        <x:v>0</x:v>
      </x:c>
      <x:c r="Z66" s="20" t="n">
        <x:v>0</x:v>
      </x:c>
      <x:c r="AA66" s="20" t="n">
        <x:v>0</x:v>
      </x:c>
      <x:c r="AB66" s="20" t="n">
        <x:v>1.592269</x:v>
      </x:c>
      <x:c r="AC66" s="20" t="n">
        <x:v>3</x:v>
      </x:c>
      <x:c r="AD66" s="20" t="n">
        <x:v>577.400785</x:v>
      </x:c>
      <x:c r="AE66" s="20" t="n">
        <x:v>1070.388466</x:v>
      </x:c>
      <x:c r="AF66" s="18" t="str">
        <x:v>{"random_removal": 0.011529215046068483, "related_removal": 0.011529215046068483, "worst_removal": 0.011529215046068483}</x:v>
      </x:c>
      <x:c r="AG66" s="18" t="str">
        <x:v>{"greedy_insertion": 0.011529215046068483, "regret_2_insertion": 0.011529215046068483}</x:v>
      </x:c>
      <x:c r="AH66" s="18" t="str">
        <x:v>[["D0", "C75", "S0", "C44", "C53", "S17", "C77", "S0", "C35", "D0"]]</x:v>
      </x:c>
    </x:row>
    <x:row r="67">
      <x:c r="A67" s="18" t="str">
        <x:v>results/week6/main_fixed1000/alns_evrptw_summary.csv</x:v>
      </x:c>
      <x:c r="B67" s="18" t="str">
        <x:v>Full_ALNS_EVRPTW</x:v>
      </x:c>
      <x:c r="C67" s="18" t="str">
        <x:v>ALNS_EVRPTW_FULL_RECHARGE</x:v>
      </x:c>
      <x:c r="D67" s="18" t="str">
        <x:v>c206C5</x:v>
      </x:c>
      <x:c r="E67" s="19" t="n">
        <x:v>66</x:v>
      </x:c>
      <x:c r="F67" s="18" t="str">
        <x:v>C</x:v>
      </x:c>
      <x:c r="G67" s="19" t="n">
        <x:v>5</x:v>
      </x:c>
      <x:c r="H67" s="18" t="n">
        <x:v>1</x:v>
      </x:c>
      <x:c r="I67" s="19" t="n">
        <x:v>1</x:v>
      </x:c>
      <x:c r="J67" s="20" t="n">
        <x:v>242.555652</x:v>
      </x:c>
      <x:c r="K67" s="20" t="n">
        <x:v>2.233104</x:v>
      </x:c>
      <x:c r="L67" s="19" t="n">
        <x:v>1000</x:v>
      </x:c>
      <x:c r="M67" s="19" t="n">
        <x:v>0</x:v>
      </x:c>
      <x:c r="N67" s="19" t="n">
        <x:v>1000</x:v>
      </x:c>
      <x:c r="O67" s="19" t="n">
        <x:v>0</x:v>
      </x:c>
      <x:c r="P67" s="19" t="n">
        <x:v>1000</x:v>
      </x:c>
      <x:c r="Q67" s="19" t="n">
        <x:v>0</x:v>
      </x:c>
      <x:c r="R67" s="21" t="n">
        <x:f>P67/L67</x:f>
        <x:v>1</x:v>
      </x:c>
      <x:c r="S67" s="18" t="str">
        <x:v>iteration_limit</x:v>
      </x:c>
      <x:c r="T67" s="22" t="b">
        <x:v>0</x:v>
      </x:c>
      <x:c r="U67" s="19" t="n">
        <x:v>0</x:v>
      </x:c>
      <x:c r="V67" s="19" t="n">
        <x:v>0</x:v>
      </x:c>
      <x:c r="W67" s="19" t="n">
        <x:v>0</x:v>
      </x:c>
      <x:c r="X67" s="22" t="b">
        <x:v>0</x:v>
      </x:c>
      <x:c r="Y67" s="20" t="n">
        <x:v>0</x:v>
      </x:c>
      <x:c r="Z67" s="20" t="n">
        <x:v>0</x:v>
      </x:c>
      <x:c r="AA67" s="20" t="n">
        <x:v>0</x:v>
      </x:c>
      <x:c r="AB67" s="20" t="n">
        <x:v>1.592269</x:v>
      </x:c>
      <x:c r="AC67" s="20" t="n">
        <x:v>3</x:v>
      </x:c>
      <x:c r="AD67" s="20" t="n">
        <x:v>577.400785</x:v>
      </x:c>
      <x:c r="AE67" s="20" t="n">
        <x:v>1070.388466</x:v>
      </x:c>
      <x:c r="AF67" s="18" t="str">
        <x:v>{"random_removal": 0.011529215046068483, "related_removal": 0.011529215046068483, "worst_removal": 0.011529215046068483}</x:v>
      </x:c>
      <x:c r="AG67" s="18" t="str">
        <x:v>{"greedy_insertion": 0.011529215046068483, "regret_2_insertion": 0.011529215046068483}</x:v>
      </x:c>
      <x:c r="AH67" s="18" t="str">
        <x:v>[["D0", "C75", "S0", "C44", "C53", "S17", "C77", "S0", "C35", "D0"]]</x:v>
      </x:c>
    </x:row>
    <x:row r="68">
      <x:c r="A68" s="18" t="str">
        <x:v>results/week6/main_fixed1000/alns_evrptw_summary.csv</x:v>
      </x:c>
      <x:c r="B68" s="18" t="str">
        <x:v>Full_ALNS_EVRPTW</x:v>
      </x:c>
      <x:c r="C68" s="18" t="str">
        <x:v>ALNS_EVRPTW_FULL_RECHARGE</x:v>
      </x:c>
      <x:c r="D68" s="18" t="str">
        <x:v>c202C10</x:v>
      </x:c>
      <x:c r="E68" s="19" t="n">
        <x:v>64</x:v>
      </x:c>
      <x:c r="F68" s="18" t="str">
        <x:v>C</x:v>
      </x:c>
      <x:c r="G68" s="19" t="n">
        <x:v>10</x:v>
      </x:c>
      <x:c r="H68" s="18" t="n">
        <x:v>1</x:v>
      </x:c>
      <x:c r="I68" s="19" t="n">
        <x:v>1</x:v>
      </x:c>
      <x:c r="J68" s="20" t="n">
        <x:v>304.058332</x:v>
      </x:c>
      <x:c r="K68" s="20" t="n">
        <x:v>28.549388</x:v>
      </x:c>
      <x:c r="L68" s="19" t="n">
        <x:v>1000</x:v>
      </x:c>
      <x:c r="M68" s="19" t="n">
        <x:v>2</x:v>
      </x:c>
      <x:c r="N68" s="19" t="n">
        <x:v>1000</x:v>
      </x:c>
      <x:c r="O68" s="19" t="n">
        <x:v>1</x:v>
      </x:c>
      <x:c r="P68" s="19" t="n">
        <x:v>999</x:v>
      </x:c>
      <x:c r="Q68" s="19" t="n">
        <x:v>0</x:v>
      </x:c>
      <x:c r="R68" s="21" t="n">
        <x:f>P68/L68</x:f>
        <x:v>0.999</x:v>
      </x:c>
      <x:c r="S68" s="18" t="str">
        <x:v>iteration_limit</x:v>
      </x:c>
      <x:c r="T68" s="22" t="b">
        <x:v>0</x:v>
      </x:c>
      <x:c r="U68" s="19" t="n">
        <x:v>0</x:v>
      </x:c>
      <x:c r="V68" s="19" t="n">
        <x:v>0</x:v>
      </x:c>
      <x:c r="W68" s="19" t="n">
        <x:v>0</x:v>
      </x:c>
      <x:c r="X68" s="22" t="b">
        <x:v>0</x:v>
      </x:c>
      <x:c r="Y68" s="20" t="n">
        <x:v>0</x:v>
      </x:c>
      <x:c r="Z68" s="20" t="n">
        <x:v>0</x:v>
      </x:c>
      <x:c r="AA68" s="20" t="n">
        <x:v>0</x:v>
      </x:c>
      <x:c r="AB68" s="20" t="n">
        <x:v>9.470097</x:v>
      </x:c>
      <x:c r="AC68" s="20" t="n">
        <x:v>5</x:v>
      </x:c>
      <x:c r="AD68" s="20" t="n">
        <x:v>896.598704</x:v>
      </x:c>
      <x:c r="AE68" s="20" t="n">
        <x:v>929.342963</x:v>
      </x:c>
      <x:c r="AF68" s="18" t="str">
        <x:v>{"random_removal": 0.012376951446514694, "related_removal": 0.011529215046068483, "worst_removal": 0.011529215046068483}</x:v>
      </x:c>
      <x:c r="AG68" s="18" t="str">
        <x:v>{"greedy_insertion": 0.011529215046068483, "regret_2_insertion": 0.012009599006321335}</x:v>
      </x:c>
      <x:c r="AH68" s="18" t="str">
        <x:v>[["D0", "C8", "C10", "S1", "C84", "C16", "S7", "C25", "S0", "C96", "S15", "C57", "S13", "C6", "C30", "C24", "D0"]]</x:v>
      </x:c>
    </x:row>
    <x:row r="69">
      <x:c r="A69" s="18" t="str">
        <x:v>results/week6/main_fixed1000/alns_evrptw_summary.csv</x:v>
      </x:c>
      <x:c r="B69" s="18" t="str">
        <x:v>Full_ALNS_EVRPTW</x:v>
      </x:c>
      <x:c r="C69" s="18" t="str">
        <x:v>ALNS_EVRPTW_FULL_RECHARGE</x:v>
      </x:c>
      <x:c r="D69" s="18" t="str">
        <x:v>c202C10</x:v>
      </x:c>
      <x:c r="E69" s="19" t="n">
        <x:v>65</x:v>
      </x:c>
      <x:c r="F69" s="18" t="str">
        <x:v>C</x:v>
      </x:c>
      <x:c r="G69" s="19" t="n">
        <x:v>10</x:v>
      </x:c>
      <x:c r="H69" s="18" t="n">
        <x:v>1</x:v>
      </x:c>
      <x:c r="I69" s="19" t="n">
        <x:v>1</x:v>
      </x:c>
      <x:c r="J69" s="20" t="n">
        <x:v>304.058332</x:v>
      </x:c>
      <x:c r="K69" s="20" t="n">
        <x:v>28.410061</x:v>
      </x:c>
      <x:c r="L69" s="19" t="n">
        <x:v>1000</x:v>
      </x:c>
      <x:c r="M69" s="19" t="n">
        <x:v>1</x:v>
      </x:c>
      <x:c r="N69" s="19" t="n">
        <x:v>1000</x:v>
      </x:c>
      <x:c r="O69" s="19" t="n">
        <x:v>1</x:v>
      </x:c>
      <x:c r="P69" s="19" t="n">
        <x:v>999</x:v>
      </x:c>
      <x:c r="Q69" s="19" t="n">
        <x:v>0</x:v>
      </x:c>
      <x:c r="R69" s="21" t="n">
        <x:f>P69/L69</x:f>
        <x:v>0.999</x:v>
      </x:c>
      <x:c r="S69" s="18" t="str">
        <x:v>iteration_limit</x:v>
      </x:c>
      <x:c r="T69" s="22" t="b">
        <x:v>0</x:v>
      </x:c>
      <x:c r="U69" s="19" t="n">
        <x:v>0</x:v>
      </x:c>
      <x:c r="V69" s="19" t="n">
        <x:v>0</x:v>
      </x:c>
      <x:c r="W69" s="19" t="n">
        <x:v>0</x:v>
      </x:c>
      <x:c r="X69" s="22" t="b">
        <x:v>0</x:v>
      </x:c>
      <x:c r="Y69" s="20" t="n">
        <x:v>0</x:v>
      </x:c>
      <x:c r="Z69" s="20" t="n">
        <x:v>0</x:v>
      </x:c>
      <x:c r="AA69" s="20" t="n">
        <x:v>0</x:v>
      </x:c>
      <x:c r="AB69" s="20" t="n">
        <x:v>9.470097</x:v>
      </x:c>
      <x:c r="AC69" s="20" t="n">
        <x:v>5</x:v>
      </x:c>
      <x:c r="AD69" s="20" t="n">
        <x:v>896.598704</x:v>
      </x:c>
      <x:c r="AE69" s="20" t="n">
        <x:v>929.342963</x:v>
      </x:c>
      <x:c r="AF69" s="18" t="str">
        <x:v>{"random_removal": 0.011529215046068483, "related_removal": 0.011529215046068483, "worst_removal": 0.012249790986447762}</x:v>
      </x:c>
      <x:c r="AG69" s="18" t="str">
        <x:v>{"greedy_insertion": 0.012129694996384555, "regret_2_insertion": 0.011529215046068483}</x:v>
      </x:c>
      <x:c r="AH69" s="18" t="str">
        <x:v>[["D0", "C8", "C10", "S1", "C84", "C16", "S7", "C25", "S0", "C96", "S15", "C57", "S13", "C6", "C30", "C24", "D0"]]</x:v>
      </x:c>
    </x:row>
    <x:row r="70">
      <x:c r="A70" s="18" t="str">
        <x:v>results/week6/main_fixed1000/alns_evrptw_summary.csv</x:v>
      </x:c>
      <x:c r="B70" s="18" t="str">
        <x:v>Full_ALNS_EVRPTW</x:v>
      </x:c>
      <x:c r="C70" s="18" t="str">
        <x:v>ALNS_EVRPTW_FULL_RECHARGE</x:v>
      </x:c>
      <x:c r="D70" s="18" t="str">
        <x:v>c202C10</x:v>
      </x:c>
      <x:c r="E70" s="19" t="n">
        <x:v>66</x:v>
      </x:c>
      <x:c r="F70" s="18" t="str">
        <x:v>C</x:v>
      </x:c>
      <x:c r="G70" s="19" t="n">
        <x:v>10</x:v>
      </x:c>
      <x:c r="H70" s="18" t="n">
        <x:v>1</x:v>
      </x:c>
      <x:c r="I70" s="19" t="n">
        <x:v>1</x:v>
      </x:c>
      <x:c r="J70" s="20" t="n">
        <x:v>304.058332</x:v>
      </x:c>
      <x:c r="K70" s="20" t="n">
        <x:v>29.022369</x:v>
      </x:c>
      <x:c r="L70" s="19" t="n">
        <x:v>1000</x:v>
      </x:c>
      <x:c r="M70" s="19" t="n">
        <x:v>1</x:v>
      </x:c>
      <x:c r="N70" s="19" t="n">
        <x:v>1000</x:v>
      </x:c>
      <x:c r="O70" s="19" t="n">
        <x:v>1</x:v>
      </x:c>
      <x:c r="P70" s="19" t="n">
        <x:v>999</x:v>
      </x:c>
      <x:c r="Q70" s="19" t="n">
        <x:v>0</x:v>
      </x:c>
      <x:c r="R70" s="21" t="n">
        <x:f>P70/L70</x:f>
        <x:v>0.999</x:v>
      </x:c>
      <x:c r="S70" s="18" t="str">
        <x:v>iteration_limit</x:v>
      </x:c>
      <x:c r="T70" s="22" t="b">
        <x:v>0</x:v>
      </x:c>
      <x:c r="U70" s="19" t="n">
        <x:v>0</x:v>
      </x:c>
      <x:c r="V70" s="19" t="n">
        <x:v>0</x:v>
      </x:c>
      <x:c r="W70" s="19" t="n">
        <x:v>0</x:v>
      </x:c>
      <x:c r="X70" s="22" t="b">
        <x:v>0</x:v>
      </x:c>
      <x:c r="Y70" s="20" t="n">
        <x:v>0</x:v>
      </x:c>
      <x:c r="Z70" s="20" t="n">
        <x:v>0</x:v>
      </x:c>
      <x:c r="AA70" s="20" t="n">
        <x:v>0</x:v>
      </x:c>
      <x:c r="AB70" s="20" t="n">
        <x:v>9.470097</x:v>
      </x:c>
      <x:c r="AC70" s="20" t="n">
        <x:v>5</x:v>
      </x:c>
      <x:c r="AD70" s="20" t="n">
        <x:v>896.598704</x:v>
      </x:c>
      <x:c r="AE70" s="20" t="n">
        <x:v>929.342963</x:v>
      </x:c>
      <x:c r="AF70" s="18" t="str">
        <x:v>{"random_removal": 0.012215477846429705, "related_removal": 0.011529215046068483, "worst_removal": 0.011529215046068483}</x:v>
      </x:c>
      <x:c r="AG70" s="18" t="str">
        <x:v>{"greedy_insertion": 0.012129694996384555, "regret_2_insertion": 0.011529215046068483}</x:v>
      </x:c>
      <x:c r="AH70" s="18" t="str">
        <x:v>[["D0", "C8", "C10", "S1", "C84", "C16", "S7", "C25", "S0", "C96", "S15", "C57", "S13", "C6", "C30", "C24", "D0"]]</x:v>
      </x:c>
    </x:row>
    <x:row r="71">
      <x:c r="A71" s="18" t="str">
        <x:v>results/week6/main_fixed1000/alns_evrptw_summary.csv</x:v>
      </x:c>
      <x:c r="B71" s="18" t="str">
        <x:v>Full_ALNS_EVRPTW</x:v>
      </x:c>
      <x:c r="C71" s="18" t="str">
        <x:v>ALNS_EVRPTW_FULL_RECHARGE</x:v>
      </x:c>
      <x:c r="D71" s="18" t="str">
        <x:v>c202C15</x:v>
      </x:c>
      <x:c r="E71" s="19" t="n">
        <x:v>64</x:v>
      </x:c>
      <x:c r="F71" s="18" t="str">
        <x:v>C</x:v>
      </x:c>
      <x:c r="G71" s="19" t="n">
        <x:v>15</x:v>
      </x:c>
      <x:c r="H71" s="18" t="n">
        <x:v>1</x:v>
      </x:c>
      <x:c r="I71" s="19" t="n">
        <x:v>3</x:v>
      </x:c>
      <x:c r="J71" s="20" t="n">
        <x:v>376.789292</x:v>
      </x:c>
      <x:c r="K71" s="20" t="n">
        <x:v>91.744132</x:v>
      </x:c>
      <x:c r="L71" s="19" t="n">
        <x:v>1000</x:v>
      </x:c>
      <x:c r="M71" s="19" t="n">
        <x:v>4</x:v>
      </x:c>
      <x:c r="N71" s="19" t="n">
        <x:v>994</x:v>
      </x:c>
      <x:c r="O71" s="19" t="n">
        <x:v>5</x:v>
      </x:c>
      <x:c r="P71" s="19" t="n">
        <x:v>986</x:v>
      </x:c>
      <x:c r="Q71" s="19" t="n">
        <x:v>3</x:v>
      </x:c>
      <x:c r="R71" s="21" t="n">
        <x:f>P71/L71</x:f>
        <x:v>0.986</x:v>
      </x:c>
      <x:c r="S71" s="18" t="str">
        <x:v>iteration_limit</x:v>
      </x:c>
      <x:c r="T71" s="22" t="b">
        <x:v>0</x:v>
      </x:c>
      <x:c r="U71" s="19" t="n">
        <x:v>0</x:v>
      </x:c>
      <x:c r="V71" s="19" t="n">
        <x:v>0</x:v>
      </x:c>
      <x:c r="W71" s="19" t="n">
        <x:v>0</x:v>
      </x:c>
      <x:c r="X71" s="22" t="b">
        <x:v>0</x:v>
      </x:c>
      <x:c r="Y71" s="20" t="n">
        <x:v>0</x:v>
      </x:c>
      <x:c r="Z71" s="20" t="n">
        <x:v>0</x:v>
      </x:c>
      <x:c r="AA71" s="20" t="n">
        <x:v>0</x:v>
      </x:c>
      <x:c r="AB71" s="20" t="n">
        <x:v>2.561272</x:v>
      </x:c>
      <x:c r="AC71" s="20" t="n">
        <x:v>4</x:v>
      </x:c>
      <x:c r="AD71" s="20" t="n">
        <x:v>837.958612</x:v>
      </x:c>
      <x:c r="AE71" s="20" t="n">
        <x:v>3581.510807</x:v>
      </x:c>
      <x:c r="AF71" s="18" t="str">
        <x:v>{"random_removal": 0.017227031331256977, "related_removal": 0.017441676791141416, "worst_removal": 0.012376951446514694}</x:v>
      </x:c>
      <x:c r="AG71" s="18" t="str">
        <x:v>{"greedy_insertion": 0.012632229813500283, "regret_2_insertion": 0.016238186736083515}</x:v>
      </x:c>
      <x:c r="AH71" s="18" t="str">
        <x:v>[["D0", "C43", "C51", "C58", "S15", "C41", "D0"], ["D0", "C10", "C3", "C82", "S1", "C76", "C73", "S19", "C87", "C63", "D0"], ["D0", "C99", "S5", "C17", "C23", "C27", "D0"]]</x:v>
      </x:c>
    </x:row>
    <x:row r="72">
      <x:c r="A72" s="18" t="str">
        <x:v>results/week6/main_fixed1000/alns_evrptw_summary.csv</x:v>
      </x:c>
      <x:c r="B72" s="18" t="str">
        <x:v>Full_ALNS_EVRPTW</x:v>
      </x:c>
      <x:c r="C72" s="18" t="str">
        <x:v>ALNS_EVRPTW_FULL_RECHARGE</x:v>
      </x:c>
      <x:c r="D72" s="18" t="str">
        <x:v>c202C15</x:v>
      </x:c>
      <x:c r="E72" s="19" t="n">
        <x:v>65</x:v>
      </x:c>
      <x:c r="F72" s="18" t="str">
        <x:v>C</x:v>
      </x:c>
      <x:c r="G72" s="19" t="n">
        <x:v>15</x:v>
      </x:c>
      <x:c r="H72" s="18" t="n">
        <x:v>1</x:v>
      </x:c>
      <x:c r="I72" s="19" t="n">
        <x:v>3</x:v>
      </x:c>
      <x:c r="J72" s="20" t="n">
        <x:v>376.789292</x:v>
      </x:c>
      <x:c r="K72" s="20" t="n">
        <x:v>92.466362</x:v>
      </x:c>
      <x:c r="L72" s="19" t="n">
        <x:v>1000</x:v>
      </x:c>
      <x:c r="M72" s="19" t="n">
        <x:v>7</x:v>
      </x:c>
      <x:c r="N72" s="19" t="n">
        <x:v>999</x:v>
      </x:c>
      <x:c r="O72" s="19" t="n">
        <x:v>6</x:v>
      </x:c>
      <x:c r="P72" s="19" t="n">
        <x:v>989</x:v>
      </x:c>
      <x:c r="Q72" s="19" t="n">
        <x:v>4</x:v>
      </x:c>
      <x:c r="R72" s="21" t="n">
        <x:f>P72/L72</x:f>
        <x:v>0.989</x:v>
      </x:c>
      <x:c r="S72" s="18" t="str">
        <x:v>iteration_limit</x:v>
      </x:c>
      <x:c r="T72" s="22" t="b">
        <x:v>0</x:v>
      </x:c>
      <x:c r="U72" s="19" t="n">
        <x:v>0</x:v>
      </x:c>
      <x:c r="V72" s="19" t="n">
        <x:v>0</x:v>
      </x:c>
      <x:c r="W72" s="19" t="n">
        <x:v>0</x:v>
      </x:c>
      <x:c r="X72" s="22" t="b">
        <x:v>0</x:v>
      </x:c>
      <x:c r="Y72" s="20" t="n">
        <x:v>0</x:v>
      </x:c>
      <x:c r="Z72" s="20" t="n">
        <x:v>0</x:v>
      </x:c>
      <x:c r="AA72" s="20" t="n">
        <x:v>0</x:v>
      </x:c>
      <x:c r="AB72" s="20" t="n">
        <x:v>2.561272</x:v>
      </x:c>
      <x:c r="AC72" s="20" t="n">
        <x:v>4</x:v>
      </x:c>
      <x:c r="AD72" s="20" t="n">
        <x:v>837.958612</x:v>
      </x:c>
      <x:c r="AE72" s="20" t="n">
        <x:v>3581.510807</x:v>
      </x:c>
      <x:c r="AF72" s="18" t="str">
        <x:v>{"random_removal": 0.014133361214529037, "related_removal": 0.014983793560369066, "worst_removal": 0.014528878235375246}</x:v>
      </x:c>
      <x:c r="AG72" s="18" t="str">
        <x:v>{"greedy_insertion": 0.014312785955396402, "regret_2_insertion": 0.015055106239848404}</x:v>
      </x:c>
      <x:c r="AH72" s="18" t="str">
        <x:v>[["D0", "C43", "C51", "C58", "S15", "C41", "D0"], ["D0", "C10", "C3", "C82", "S1", "C76", "C73", "S19", "C87", "C63", "D0"], ["D0", "C99", "S5", "C17", "C23", "C27", "D0"]]</x:v>
      </x:c>
    </x:row>
    <x:row r="73">
      <x:c r="A73" s="18" t="str">
        <x:v>results/week6/main_fixed1000/alns_evrptw_summary.csv</x:v>
      </x:c>
      <x:c r="B73" s="18" t="str">
        <x:v>Full_ALNS_EVRPTW</x:v>
      </x:c>
      <x:c r="C73" s="18" t="str">
        <x:v>ALNS_EVRPTW_FULL_RECHARGE</x:v>
      </x:c>
      <x:c r="D73" s="18" t="str">
        <x:v>c202C15</x:v>
      </x:c>
      <x:c r="E73" s="19" t="n">
        <x:v>66</x:v>
      </x:c>
      <x:c r="F73" s="18" t="str">
        <x:v>C</x:v>
      </x:c>
      <x:c r="G73" s="19" t="n">
        <x:v>15</x:v>
      </x:c>
      <x:c r="H73" s="18" t="n">
        <x:v>1</x:v>
      </x:c>
      <x:c r="I73" s="19" t="n">
        <x:v>3</x:v>
      </x:c>
      <x:c r="J73" s="20" t="n">
        <x:v>376.789292</x:v>
      </x:c>
      <x:c r="K73" s="20" t="n">
        <x:v>93.889028</x:v>
      </x:c>
      <x:c r="L73" s="19" t="n">
        <x:v>1000</x:v>
      </x:c>
      <x:c r="M73" s="19" t="n">
        <x:v>1</x:v>
      </x:c>
      <x:c r="N73" s="19" t="n">
        <x:v>994</x:v>
      </x:c>
      <x:c r="O73" s="19" t="n">
        <x:v>5</x:v>
      </x:c>
      <x:c r="P73" s="19" t="n">
        <x:v>985</x:v>
      </x:c>
      <x:c r="Q73" s="19" t="n">
        <x:v>4</x:v>
      </x:c>
      <x:c r="R73" s="21" t="n">
        <x:f>P73/L73</x:f>
        <x:v>0.985</x:v>
      </x:c>
      <x:c r="S73" s="18" t="str">
        <x:v>iteration_limit</x:v>
      </x:c>
      <x:c r="T73" s="22" t="b">
        <x:v>0</x:v>
      </x:c>
      <x:c r="U73" s="19" t="n">
        <x:v>0</x:v>
      </x:c>
      <x:c r="V73" s="19" t="n">
        <x:v>0</x:v>
      </x:c>
      <x:c r="W73" s="19" t="n">
        <x:v>0</x:v>
      </x:c>
      <x:c r="X73" s="22" t="b">
        <x:v>0</x:v>
      </x:c>
      <x:c r="Y73" s="20" t="n">
        <x:v>0</x:v>
      </x:c>
      <x:c r="Z73" s="20" t="n">
        <x:v>0</x:v>
      </x:c>
      <x:c r="AA73" s="20" t="n">
        <x:v>0</x:v>
      </x:c>
      <x:c r="AB73" s="20" t="n">
        <x:v>2.561272</x:v>
      </x:c>
      <x:c r="AC73" s="20" t="n">
        <x:v>4</x:v>
      </x:c>
      <x:c r="AD73" s="20" t="n">
        <x:v>837.958612</x:v>
      </x:c>
      <x:c r="AE73" s="20" t="n">
        <x:v>3581.510807</x:v>
      </x:c>
      <x:c r="AF73" s="18" t="str">
        <x:v>{"random_removal": 0.016600501676877138, "related_removal": 0.011529215046068483, "worst_removal": 0.019559515399399686}</x:v>
      </x:c>
      <x:c r="AG73" s="18" t="str">
        <x:v>{"greedy_insertion": 0.01853101896973608, "regret_2_insertion": 0.011529215046068483}</x:v>
      </x:c>
      <x:c r="AH73" s="18" t="str">
        <x:v>[["D0", "C43", "C51", "C58", "S15", "C41", "D0"], ["D0", "C10", "C3", "C82", "S1", "C76", "C73", "S19", "C87", "C63", "D0"], ["D0", "C99", "S5", "C17", "C23", "C27", "D0"]]</x:v>
      </x:c>
    </x:row>
    <x:row r="74">
      <x:c r="A74" s="18" t="str">
        <x:v>results/week6/main_fixed1000/alns_evrptw_summary.csv</x:v>
      </x:c>
      <x:c r="B74" s="18" t="str">
        <x:v>Full_ALNS_EVRPTW</x:v>
      </x:c>
      <x:c r="C74" s="18" t="str">
        <x:v>ALNS_EVRPTW_FULL_RECHARGE</x:v>
      </x:c>
      <x:c r="D74" s="18" t="str">
        <x:v>r105C5</x:v>
      </x:c>
      <x:c r="E74" s="19" t="n">
        <x:v>64</x:v>
      </x:c>
      <x:c r="F74" s="18" t="str">
        <x:v>R</x:v>
      </x:c>
      <x:c r="G74" s="19" t="n">
        <x:v>5</x:v>
      </x:c>
      <x:c r="H74" s="18" t="n">
        <x:v>1</x:v>
      </x:c>
      <x:c r="I74" s="19" t="n">
        <x:v>2</x:v>
      </x:c>
      <x:c r="J74" s="20" t="n">
        <x:v>156.082069</x:v>
      </x:c>
      <x:c r="K74" s="20" t="n">
        <x:v>0.847096</x:v>
      </x:c>
      <x:c r="L74" s="19" t="n">
        <x:v>1000</x:v>
      </x:c>
      <x:c r="M74" s="19" t="n">
        <x:v>0</x:v>
      </x:c>
      <x:c r="N74" s="19" t="n">
        <x:v>1000</x:v>
      </x:c>
      <x:c r="O74" s="19" t="n">
        <x:v>0</x:v>
      </x:c>
      <x:c r="P74" s="19" t="n">
        <x:v>1000</x:v>
      </x:c>
      <x:c r="Q74" s="19" t="n">
        <x:v>0</x:v>
      </x:c>
      <x:c r="R74" s="21" t="n">
        <x:f>P74/L74</x:f>
        <x:v>1</x:v>
      </x:c>
      <x:c r="S74" s="18" t="str">
        <x:v>iteration_limit</x:v>
      </x:c>
      <x:c r="T74" s="22" t="b">
        <x:v>0</x:v>
      </x:c>
      <x:c r="U74" s="19" t="n">
        <x:v>0</x:v>
      </x:c>
      <x:c r="V74" s="19" t="n">
        <x:v>0</x:v>
      </x:c>
      <x:c r="W74" s="19" t="n">
        <x:v>0</x:v>
      </x:c>
      <x:c r="X74" s="22" t="b">
        <x:v>0</x:v>
      </x:c>
      <x:c r="Y74" s="20" t="n">
        <x:v>0</x:v>
      </x:c>
      <x:c r="Z74" s="20" t="n">
        <x:v>0</x:v>
      </x:c>
      <x:c r="AA74" s="20" t="n">
        <x:v>0</x:v>
      </x:c>
      <x:c r="AB74" s="20" t="n">
        <x:v>2.82845</x:v>
      </x:c>
      <x:c r="AC74" s="20" t="n">
        <x:v>1</x:v>
      </x:c>
      <x:c r="AD74" s="20" t="n">
        <x:v>28.32276</x:v>
      </x:c>
      <x:c r="AE74" s="20" t="n">
        <x:v>129.785795</x:v>
      </x:c>
      <x:c r="AF74" s="18" t="str">
        <x:v>{"random_removal": 0.011529215046068483, "related_removal": 0.011529215046068483, "worst_removal": 0.011529215046068483}</x:v>
      </x:c>
      <x:c r="AG74" s="18" t="str">
        <x:v>{"greedy_insertion": 0.011529215046068483, "regret_2_insertion": 0.011529215046068483}</x:v>
      </x:c>
      <x:c r="AH74" s="18" t="str">
        <x:v>[["D0", "C75", "S1", "C78", "C28", "D0"], ["D0", "C91", "C95", "D0"]]</x:v>
      </x:c>
    </x:row>
    <x:row r="75">
      <x:c r="A75" s="18" t="str">
        <x:v>results/week6/main_fixed1000/alns_evrptw_summary.csv</x:v>
      </x:c>
      <x:c r="B75" s="18" t="str">
        <x:v>Full_ALNS_EVRPTW</x:v>
      </x:c>
      <x:c r="C75" s="18" t="str">
        <x:v>ALNS_EVRPTW_FULL_RECHARGE</x:v>
      </x:c>
      <x:c r="D75" s="18" t="str">
        <x:v>r105C5</x:v>
      </x:c>
      <x:c r="E75" s="19" t="n">
        <x:v>65</x:v>
      </x:c>
      <x:c r="F75" s="18" t="str">
        <x:v>R</x:v>
      </x:c>
      <x:c r="G75" s="19" t="n">
        <x:v>5</x:v>
      </x:c>
      <x:c r="H75" s="18" t="n">
        <x:v>1</x:v>
      </x:c>
      <x:c r="I75" s="19" t="n">
        <x:v>2</x:v>
      </x:c>
      <x:c r="J75" s="20" t="n">
        <x:v>156.082069</x:v>
      </x:c>
      <x:c r="K75" s="20" t="n">
        <x:v>0.89902</x:v>
      </x:c>
      <x:c r="L75" s="19" t="n">
        <x:v>1000</x:v>
      </x:c>
      <x:c r="M75" s="19" t="n">
        <x:v>0</x:v>
      </x:c>
      <x:c r="N75" s="19" t="n">
        <x:v>1000</x:v>
      </x:c>
      <x:c r="O75" s="19" t="n">
        <x:v>0</x:v>
      </x:c>
      <x:c r="P75" s="19" t="n">
        <x:v>1000</x:v>
      </x:c>
      <x:c r="Q75" s="19" t="n">
        <x:v>0</x:v>
      </x:c>
      <x:c r="R75" s="21" t="n">
        <x:f>P75/L75</x:f>
        <x:v>1</x:v>
      </x:c>
      <x:c r="S75" s="18" t="str">
        <x:v>iteration_limit</x:v>
      </x:c>
      <x:c r="T75" s="22" t="b">
        <x:v>0</x:v>
      </x:c>
      <x:c r="U75" s="19" t="n">
        <x:v>0</x:v>
      </x:c>
      <x:c r="V75" s="19" t="n">
        <x:v>0</x:v>
      </x:c>
      <x:c r="W75" s="19" t="n">
        <x:v>0</x:v>
      </x:c>
      <x:c r="X75" s="22" t="b">
        <x:v>0</x:v>
      </x:c>
      <x:c r="Y75" s="20" t="n">
        <x:v>0</x:v>
      </x:c>
      <x:c r="Z75" s="20" t="n">
        <x:v>0</x:v>
      </x:c>
      <x:c r="AA75" s="20" t="n">
        <x:v>0</x:v>
      </x:c>
      <x:c r="AB75" s="20" t="n">
        <x:v>2.82845</x:v>
      </x:c>
      <x:c r="AC75" s="20" t="n">
        <x:v>1</x:v>
      </x:c>
      <x:c r="AD75" s="20" t="n">
        <x:v>28.32276</x:v>
      </x:c>
      <x:c r="AE75" s="20" t="n">
        <x:v>129.785795</x:v>
      </x:c>
      <x:c r="AF75" s="18" t="str">
        <x:v>{"random_removal": 0.011529215046068483, "related_removal": 0.011529215046068483, "worst_removal": 0.011529215046068483}</x:v>
      </x:c>
      <x:c r="AG75" s="18" t="str">
        <x:v>{"greedy_insertion": 0.011529215046068483, "regret_2_insertion": 0.011529215046068483}</x:v>
      </x:c>
      <x:c r="AH75" s="18" t="str">
        <x:v>[["D0", "C75", "S1", "C78", "C28", "D0"], ["D0", "C91", "C95", "D0"]]</x:v>
      </x:c>
    </x:row>
    <x:row r="76">
      <x:c r="A76" s="18" t="str">
        <x:v>results/week6/main_fixed1000/alns_evrptw_summary.csv</x:v>
      </x:c>
      <x:c r="B76" s="18" t="str">
        <x:v>Full_ALNS_EVRPTW</x:v>
      </x:c>
      <x:c r="C76" s="18" t="str">
        <x:v>ALNS_EVRPTW_FULL_RECHARGE</x:v>
      </x:c>
      <x:c r="D76" s="18" t="str">
        <x:v>r105C5</x:v>
      </x:c>
      <x:c r="E76" s="19" t="n">
        <x:v>66</x:v>
      </x:c>
      <x:c r="F76" s="18" t="str">
        <x:v>R</x:v>
      </x:c>
      <x:c r="G76" s="19" t="n">
        <x:v>5</x:v>
      </x:c>
      <x:c r="H76" s="18" t="n">
        <x:v>1</x:v>
      </x:c>
      <x:c r="I76" s="19" t="n">
        <x:v>2</x:v>
      </x:c>
      <x:c r="J76" s="20" t="n">
        <x:v>156.082069</x:v>
      </x:c>
      <x:c r="K76" s="20" t="n">
        <x:v>0.921714</x:v>
      </x:c>
      <x:c r="L76" s="19" t="n">
        <x:v>1000</x:v>
      </x:c>
      <x:c r="M76" s="19" t="n">
        <x:v>0</x:v>
      </x:c>
      <x:c r="N76" s="19" t="n">
        <x:v>1000</x:v>
      </x:c>
      <x:c r="O76" s="19" t="n">
        <x:v>0</x:v>
      </x:c>
      <x:c r="P76" s="19" t="n">
        <x:v>1000</x:v>
      </x:c>
      <x:c r="Q76" s="19" t="n">
        <x:v>0</x:v>
      </x:c>
      <x:c r="R76" s="21" t="n">
        <x:f>P76/L76</x:f>
        <x:v>1</x:v>
      </x:c>
      <x:c r="S76" s="18" t="str">
        <x:v>iteration_limit</x:v>
      </x:c>
      <x:c r="T76" s="22" t="b">
        <x:v>0</x:v>
      </x:c>
      <x:c r="U76" s="19" t="n">
        <x:v>0</x:v>
      </x:c>
      <x:c r="V76" s="19" t="n">
        <x:v>0</x:v>
      </x:c>
      <x:c r="W76" s="19" t="n">
        <x:v>0</x:v>
      </x:c>
      <x:c r="X76" s="22" t="b">
        <x:v>0</x:v>
      </x:c>
      <x:c r="Y76" s="20" t="n">
        <x:v>0</x:v>
      </x:c>
      <x:c r="Z76" s="20" t="n">
        <x:v>0</x:v>
      </x:c>
      <x:c r="AA76" s="20" t="n">
        <x:v>0</x:v>
      </x:c>
      <x:c r="AB76" s="20" t="n">
        <x:v>2.82845</x:v>
      </x:c>
      <x:c r="AC76" s="20" t="n">
        <x:v>1</x:v>
      </x:c>
      <x:c r="AD76" s="20" t="n">
        <x:v>28.32276</x:v>
      </x:c>
      <x:c r="AE76" s="20" t="n">
        <x:v>129.785795</x:v>
      </x:c>
      <x:c r="AF76" s="18" t="str">
        <x:v>{"random_removal": 0.011529215046068483, "related_removal": 0.011529215046068483, "worst_removal": 0.011529215046068483}</x:v>
      </x:c>
      <x:c r="AG76" s="18" t="str">
        <x:v>{"greedy_insertion": 0.011529215046068483, "regret_2_insertion": 0.011529215046068483}</x:v>
      </x:c>
      <x:c r="AH76" s="18" t="str">
        <x:v>[["D0", "C75", "S1", "C78", "C28", "D0"], ["D0", "C91", "C95", "D0"]]</x:v>
      </x:c>
    </x:row>
    <x:row r="77">
      <x:c r="A77" s="18" t="str">
        <x:v>results/week6/main_fixed1000/alns_evrptw_summary.csv</x:v>
      </x:c>
      <x:c r="B77" s="18" t="str">
        <x:v>Full_ALNS_EVRPTW</x:v>
      </x:c>
      <x:c r="C77" s="18" t="str">
        <x:v>ALNS_EVRPTW_FULL_RECHARGE</x:v>
      </x:c>
      <x:c r="D77" s="18" t="str">
        <x:v>r103C10</x:v>
      </x:c>
      <x:c r="E77" s="19" t="n">
        <x:v>64</x:v>
      </x:c>
      <x:c r="F77" s="18" t="str">
        <x:v>R</x:v>
      </x:c>
      <x:c r="G77" s="19" t="n">
        <x:v>10</x:v>
      </x:c>
      <x:c r="H77" s="18" t="n">
        <x:v>1</x:v>
      </x:c>
      <x:c r="I77" s="19" t="n">
        <x:v>2</x:v>
      </x:c>
      <x:c r="J77" s="20" t="n">
        <x:v>207.051154</x:v>
      </x:c>
      <x:c r="K77" s="20" t="n">
        <x:v>13.315872</x:v>
      </x:c>
      <x:c r="L77" s="19" t="n">
        <x:v>1000</x:v>
      </x:c>
      <x:c r="M77" s="19" t="n">
        <x:v>9</x:v>
      </x:c>
      <x:c r="N77" s="19" t="n">
        <x:v>959</x:v>
      </x:c>
      <x:c r="O77" s="19" t="n">
        <x:v>34</x:v>
      </x:c>
      <x:c r="P77" s="19" t="n">
        <x:v>893</x:v>
      </x:c>
      <x:c r="Q77" s="19" t="n">
        <x:v>32</x:v>
      </x:c>
      <x:c r="R77" s="21" t="n">
        <x:f>P77/L77</x:f>
        <x:v>0.893</x:v>
      </x:c>
      <x:c r="S77" s="18" t="str">
        <x:v>iteration_limit</x:v>
      </x:c>
      <x:c r="T77" s="22" t="b">
        <x:v>0</x:v>
      </x:c>
      <x:c r="U77" s="19" t="n">
        <x:v>0</x:v>
      </x:c>
      <x:c r="V77" s="19" t="n">
        <x:v>0</x:v>
      </x:c>
      <x:c r="W77" s="19" t="n">
        <x:v>0</x:v>
      </x:c>
      <x:c r="X77" s="22" t="b">
        <x:v>0</x:v>
      </x:c>
      <x:c r="Y77" s="20" t="n">
        <x:v>0</x:v>
      </x:c>
      <x:c r="Z77" s="20" t="n">
        <x:v>0</x:v>
      </x:c>
      <x:c r="AA77" s="20" t="n">
        <x:v>0</x:v>
      </x:c>
      <x:c r="AB77" s="20" t="n">
        <x:v>0.425419</x:v>
      </x:c>
      <x:c r="AC77" s="20" t="n">
        <x:v>3</x:v>
      </x:c>
      <x:c r="AD77" s="20" t="n">
        <x:v>49.247992</x:v>
      </x:c>
      <x:c r="AE77" s="20" t="n">
        <x:v>58.548169</x:v>
      </x:c>
      <x:c r="AF77" s="18" t="str">
        <x:v>{"random_removal": 0.0627117390060287, "related_removal": 0.18033364296993584, "worst_removal": 0.02216557054295125}</x:v>
      </x:c>
      <x:c r="AG77" s="18" t="str">
        <x:v>{"greedy_insertion": 0.14162496907682315, "regret_2_insertion": 0.10062034835050011}</x:v>
      </x:c>
      <x:c r="AH77" s="18" t="str">
        <x:v>[["D0", "C26", "C53", "C16", "C91", "S13", "S0", "C81", "D0"], ["D0", "C18", "S9", "C45", "C84", "C83", "C27", "D0"]]</x:v>
      </x:c>
    </x:row>
    <x:row r="78">
      <x:c r="A78" s="18" t="str">
        <x:v>results/week6/main_fixed1000/alns_evrptw_summary.csv</x:v>
      </x:c>
      <x:c r="B78" s="18" t="str">
        <x:v>Full_ALNS_EVRPTW</x:v>
      </x:c>
      <x:c r="C78" s="18" t="str">
        <x:v>ALNS_EVRPTW_FULL_RECHARGE</x:v>
      </x:c>
      <x:c r="D78" s="18" t="str">
        <x:v>r103C10</x:v>
      </x:c>
      <x:c r="E78" s="19" t="n">
        <x:v>65</x:v>
      </x:c>
      <x:c r="F78" s="18" t="str">
        <x:v>R</x:v>
      </x:c>
      <x:c r="G78" s="19" t="n">
        <x:v>10</x:v>
      </x:c>
      <x:c r="H78" s="18" t="n">
        <x:v>1</x:v>
      </x:c>
      <x:c r="I78" s="19" t="n">
        <x:v>2</x:v>
      </x:c>
      <x:c r="J78" s="20" t="n">
        <x:v>207.051154</x:v>
      </x:c>
      <x:c r="K78" s="20" t="n">
        <x:v>11.950364</x:v>
      </x:c>
      <x:c r="L78" s="19" t="n">
        <x:v>1000</x:v>
      </x:c>
      <x:c r="M78" s="19" t="n">
        <x:v>1</x:v>
      </x:c>
      <x:c r="N78" s="19" t="n">
        <x:v>963</x:v>
      </x:c>
      <x:c r="O78" s="19" t="n">
        <x:v>26</x:v>
      </x:c>
      <x:c r="P78" s="19" t="n">
        <x:v>913</x:v>
      </x:c>
      <x:c r="Q78" s="19" t="n">
        <x:v>24</x:v>
      </x:c>
      <x:c r="R78" s="21" t="n">
        <x:f>P78/L78</x:f>
        <x:v>0.913</x:v>
      </x:c>
      <x:c r="S78" s="18" t="str">
        <x:v>iteration_limit</x:v>
      </x:c>
      <x:c r="T78" s="22" t="b">
        <x:v>0</x:v>
      </x:c>
      <x:c r="U78" s="19" t="n">
        <x:v>0</x:v>
      </x:c>
      <x:c r="V78" s="19" t="n">
        <x:v>0</x:v>
      </x:c>
      <x:c r="W78" s="19" t="n">
        <x:v>0</x:v>
      </x:c>
      <x:c r="X78" s="22" t="b">
        <x:v>0</x:v>
      </x:c>
      <x:c r="Y78" s="20" t="n">
        <x:v>0</x:v>
      </x:c>
      <x:c r="Z78" s="20" t="n">
        <x:v>0</x:v>
      </x:c>
      <x:c r="AA78" s="20" t="n">
        <x:v>0</x:v>
      </x:c>
      <x:c r="AB78" s="20" t="n">
        <x:v>0.425419</x:v>
      </x:c>
      <x:c r="AC78" s="20" t="n">
        <x:v>3</x:v>
      </x:c>
      <x:c r="AD78" s="20" t="n">
        <x:v>49.247992</x:v>
      </x:c>
      <x:c r="AE78" s="20" t="n">
        <x:v>58.548169</x:v>
      </x:c>
      <x:c r="AF78" s="18" t="str">
        <x:v>{"random_removal": 0.058334574465850955, "related_removal": 0.11104368022844908, "worst_removal": 0.06580263489533036}</x:v>
      </x:c>
      <x:c r="AG78" s="18" t="str">
        <x:v>{"greedy_insertion": 0.0839912175594061, "regret_2_insertion": 0.07978994132240516}</x:v>
      </x:c>
      <x:c r="AH78" s="18" t="str">
        <x:v>[["D0", "C26", "C53", "C16", "C91", "S13", "S0", "C81", "D0"], ["D0", "C18", "S9", "C45", "C84", "C83", "C27", "D0"]]</x:v>
      </x:c>
    </x:row>
    <x:row r="79">
      <x:c r="A79" s="18" t="str">
        <x:v>results/week6/main_fixed1000/alns_evrptw_summary.csv</x:v>
      </x:c>
      <x:c r="B79" s="18" t="str">
        <x:v>Full_ALNS_EVRPTW</x:v>
      </x:c>
      <x:c r="C79" s="18" t="str">
        <x:v>ALNS_EVRPTW_FULL_RECHARGE</x:v>
      </x:c>
      <x:c r="D79" s="18" t="str">
        <x:v>r103C10</x:v>
      </x:c>
      <x:c r="E79" s="19" t="n">
        <x:v>66</x:v>
      </x:c>
      <x:c r="F79" s="18" t="str">
        <x:v>R</x:v>
      </x:c>
      <x:c r="G79" s="19" t="n">
        <x:v>10</x:v>
      </x:c>
      <x:c r="H79" s="18" t="n">
        <x:v>1</x:v>
      </x:c>
      <x:c r="I79" s="19" t="n">
        <x:v>2</x:v>
      </x:c>
      <x:c r="J79" s="20" t="n">
        <x:v>207.051154</x:v>
      </x:c>
      <x:c r="K79" s="20" t="n">
        <x:v>13.25145</x:v>
      </x:c>
      <x:c r="L79" s="19" t="n">
        <x:v>1000</x:v>
      </x:c>
      <x:c r="M79" s="19" t="n">
        <x:v>1</x:v>
      </x:c>
      <x:c r="N79" s="19" t="n">
        <x:v>969</x:v>
      </x:c>
      <x:c r="O79" s="19" t="n">
        <x:v>28</x:v>
      </x:c>
      <x:c r="P79" s="19" t="n">
        <x:v>914</x:v>
      </x:c>
      <x:c r="Q79" s="19" t="n">
        <x:v>27</x:v>
      </x:c>
      <x:c r="R79" s="21" t="n">
        <x:f>P79/L79</x:f>
        <x:v>0.914</x:v>
      </x:c>
      <x:c r="S79" s="18" t="str">
        <x:v>iteration_limit</x:v>
      </x:c>
      <x:c r="T79" s="22" t="b">
        <x:v>0</x:v>
      </x:c>
      <x:c r="U79" s="19" t="n">
        <x:v>0</x:v>
      </x:c>
      <x:c r="V79" s="19" t="n">
        <x:v>0</x:v>
      </x:c>
      <x:c r="W79" s="19" t="n">
        <x:v>0</x:v>
      </x:c>
      <x:c r="X79" s="22" t="b">
        <x:v>0</x:v>
      </x:c>
      <x:c r="Y79" s="20" t="n">
        <x:v>0</x:v>
      </x:c>
      <x:c r="Z79" s="20" t="n">
        <x:v>0</x:v>
      </x:c>
      <x:c r="AA79" s="20" t="n">
        <x:v>0</x:v>
      </x:c>
      <x:c r="AB79" s="20" t="n">
        <x:v>0.425419</x:v>
      </x:c>
      <x:c r="AC79" s="20" t="n">
        <x:v>3</x:v>
      </x:c>
      <x:c r="AD79" s="20" t="n">
        <x:v>49.247992</x:v>
      </x:c>
      <x:c r="AE79" s="20" t="n">
        <x:v>58.548169</x:v>
      </x:c>
      <x:c r="AF79" s="18" t="str">
        <x:v>{"random_removal": 0.12464722804098885, "related_removal": 0.025749802126221702, "worst_removal": 0.0385091824485231}</x:v>
      </x:c>
      <x:c r="AG79" s="18" t="str">
        <x:v>{"greedy_insertion": 0.09106808706130672, "regret_2_insertion": 0.06810375392783356}</x:v>
      </x:c>
      <x:c r="AH79" s="18" t="str">
        <x:v>[["D0", "C26", "C53", "C16", "C91", "S13", "S0", "C81", "D0"], ["D0", "C18", "S9", "C45", "C84", "C83", "C27", "D0"]]</x:v>
      </x:c>
    </x:row>
    <x:row r="80">
      <x:c r="A80" s="18" t="str">
        <x:v>results/week6/main_fixed1000/alns_evrptw_summary.csv</x:v>
      </x:c>
      <x:c r="B80" s="18" t="str">
        <x:v>Full_ALNS_EVRPTW</x:v>
      </x:c>
      <x:c r="C80" s="18" t="str">
        <x:v>ALNS_EVRPTW_FULL_RECHARGE</x:v>
      </x:c>
      <x:c r="D80" s="18" t="str">
        <x:v>r105C15</x:v>
      </x:c>
      <x:c r="E80" s="19" t="n">
        <x:v>64</x:v>
      </x:c>
      <x:c r="F80" s="18" t="str">
        <x:v>R</x:v>
      </x:c>
      <x:c r="G80" s="19" t="n">
        <x:v>15</x:v>
      </x:c>
      <x:c r="H80" s="18" t="n">
        <x:v>1</x:v>
      </x:c>
      <x:c r="I80" s="19" t="n">
        <x:v>4</x:v>
      </x:c>
      <x:c r="J80" s="20" t="n">
        <x:v>336.153602</x:v>
      </x:c>
      <x:c r="K80" s="20" t="n">
        <x:v>59.317793</x:v>
      </x:c>
      <x:c r="L80" s="19" t="n">
        <x:v>1000</x:v>
      </x:c>
      <x:c r="M80" s="19" t="n">
        <x:v>3</x:v>
      </x:c>
      <x:c r="N80" s="19" t="n">
        <x:v>993</x:v>
      </x:c>
      <x:c r="O80" s="19" t="n">
        <x:v>2</x:v>
      </x:c>
      <x:c r="P80" s="19" t="n">
        <x:v>991</x:v>
      </x:c>
      <x:c r="Q80" s="19" t="n">
        <x:v>0</x:v>
      </x:c>
      <x:c r="R80" s="21" t="n">
        <x:f>P80/L80</x:f>
        <x:v>0.991</x:v>
      </x:c>
      <x:c r="S80" s="18" t="str">
        <x:v>iteration_limit</x:v>
      </x:c>
      <x:c r="T80" s="22" t="b">
        <x:v>0</x:v>
      </x:c>
      <x:c r="U80" s="19" t="n">
        <x:v>0</x:v>
      </x:c>
      <x:c r="V80" s="19" t="n">
        <x:v>0</x:v>
      </x:c>
      <x:c r="W80" s="19" t="n">
        <x:v>0</x:v>
      </x:c>
      <x:c r="X80" s="22" t="b">
        <x:v>0</x:v>
      </x:c>
      <x:c r="Y80" s="20" t="n">
        <x:v>0</x:v>
      </x:c>
      <x:c r="Z80" s="20" t="n">
        <x:v>0</x:v>
      </x:c>
      <x:c r="AA80" s="20" t="n">
        <x:v>0</x:v>
      </x:c>
      <x:c r="AB80" s="20" t="n">
        <x:v>1.851332</x:v>
      </x:c>
      <x:c r="AC80" s="20" t="n">
        <x:v>4</x:v>
      </x:c>
      <x:c r="AD80" s="20" t="n">
        <x:v>80.684092</x:v>
      </x:c>
      <x:c r="AE80" s="20" t="n">
        <x:v>214.082303</x:v>
      </x:c>
      <x:c r="AF80" s="18" t="str">
        <x:v>{"random_removal": 0.01232985497982324, "related_removal": 0.011529215046068483, "worst_removal": 0.012489982966574187}</x:v>
      </x:c>
      <x:c r="AG80" s="18" t="str">
        <x:v>{"greedy_insertion": 0.012155802820311333, "regret_2_insertion": 0.012062975001904992}</x:v>
      </x:c>
      <x:c r="AH80" s="18" t="str">
        <x:v>[["D0", "C8", "C17", "C85", "S13", "C95", "C5", "D0"], ["D0", "C70", "S3", "C9", "C29", "S1", "C25", "C28", "D0"], ["D0", "C56", "C23", "S17", "C57", "D0"], ["D0", "C50", "C69", "D0"]]</x:v>
      </x:c>
    </x:row>
    <x:row r="81">
      <x:c r="A81" s="18" t="str">
        <x:v>results/week6/main_fixed1000/alns_evrptw_summary.csv</x:v>
      </x:c>
      <x:c r="B81" s="18" t="str">
        <x:v>Full_ALNS_EVRPTW</x:v>
      </x:c>
      <x:c r="C81" s="18" t="str">
        <x:v>ALNS_EVRPTW_FULL_RECHARGE</x:v>
      </x:c>
      <x:c r="D81" s="18" t="str">
        <x:v>r105C15</x:v>
      </x:c>
      <x:c r="E81" s="19" t="n">
        <x:v>65</x:v>
      </x:c>
      <x:c r="F81" s="18" t="str">
        <x:v>R</x:v>
      </x:c>
      <x:c r="G81" s="19" t="n">
        <x:v>15</x:v>
      </x:c>
      <x:c r="H81" s="18" t="n">
        <x:v>1</x:v>
      </x:c>
      <x:c r="I81" s="19" t="n">
        <x:v>4</x:v>
      </x:c>
      <x:c r="J81" s="20" t="n">
        <x:v>336.153602</x:v>
      </x:c>
      <x:c r="K81" s="20" t="n">
        <x:v>51.050495</x:v>
      </x:c>
      <x:c r="L81" s="19" t="n">
        <x:v>1000</x:v>
      </x:c>
      <x:c r="M81" s="19" t="n">
        <x:v>94</x:v>
      </x:c>
      <x:c r="N81" s="19" t="n">
        <x:v>991</x:v>
      </x:c>
      <x:c r="O81" s="19" t="n">
        <x:v>5</x:v>
      </x:c>
      <x:c r="P81" s="19" t="n">
        <x:v>984</x:v>
      </x:c>
      <x:c r="Q81" s="19" t="n">
        <x:v>2</x:v>
      </x:c>
      <x:c r="R81" s="21" t="n">
        <x:f>P81/L81</x:f>
        <x:v>0.984</x:v>
      </x:c>
      <x:c r="S81" s="18" t="str">
        <x:v>iteration_limit</x:v>
      </x:c>
      <x:c r="T81" s="22" t="b">
        <x:v>0</x:v>
      </x:c>
      <x:c r="U81" s="19" t="n">
        <x:v>0</x:v>
      </x:c>
      <x:c r="V81" s="19" t="n">
        <x:v>0</x:v>
      </x:c>
      <x:c r="W81" s="19" t="n">
        <x:v>0</x:v>
      </x:c>
      <x:c r="X81" s="22" t="b">
        <x:v>0</x:v>
      </x:c>
      <x:c r="Y81" s="20" t="n">
        <x:v>0</x:v>
      </x:c>
      <x:c r="Z81" s="20" t="n">
        <x:v>0</x:v>
      </x:c>
      <x:c r="AA81" s="20" t="n">
        <x:v>0</x:v>
      </x:c>
      <x:c r="AB81" s="20" t="n">
        <x:v>1.851332</x:v>
      </x:c>
      <x:c r="AC81" s="20" t="n">
        <x:v>4</x:v>
      </x:c>
      <x:c r="AD81" s="20" t="n">
        <x:v>80.684092</x:v>
      </x:c>
      <x:c r="AE81" s="20" t="n">
        <x:v>214.082303</x:v>
      </x:c>
      <x:c r="AF81" s="18" t="str">
        <x:v>{"random_removal": 0.016316522366042207, "related_removal": 0.01472108465352532, "worst_removal": 0.011529215046068483}</x:v>
      </x:c>
      <x:c r="AG81" s="18" t="str">
        <x:v>{"greedy_insertion": 0.014904510501170285, "regret_2_insertion": 0.014094902106509858}</x:v>
      </x:c>
      <x:c r="AH81" s="18" t="str">
        <x:v>[["D0", "C8", "C17", "C85", "S13", "C95", "C5", "D0"], ["D0", "C50", "C69", "D0"], ["D0", "C56", "C23", "S17", "C57", "D0"], ["D0", "C70", "S3", "C9", "C29", "S1", "C25", "C28", "D0"]]</x:v>
      </x:c>
    </x:row>
    <x:row r="82">
      <x:c r="A82" s="18" t="str">
        <x:v>results/week6/main_fixed1000/alns_evrptw_summary.csv</x:v>
      </x:c>
      <x:c r="B82" s="18" t="str">
        <x:v>Full_ALNS_EVRPTW</x:v>
      </x:c>
      <x:c r="C82" s="18" t="str">
        <x:v>ALNS_EVRPTW_FULL_RECHARGE</x:v>
      </x:c>
      <x:c r="D82" s="18" t="str">
        <x:v>r105C15</x:v>
      </x:c>
      <x:c r="E82" s="19" t="n">
        <x:v>66</x:v>
      </x:c>
      <x:c r="F82" s="18" t="str">
        <x:v>R</x:v>
      </x:c>
      <x:c r="G82" s="19" t="n">
        <x:v>15</x:v>
      </x:c>
      <x:c r="H82" s="18" t="n">
        <x:v>1</x:v>
      </x:c>
      <x:c r="I82" s="19" t="n">
        <x:v>4</x:v>
      </x:c>
      <x:c r="J82" s="20" t="n">
        <x:v>336.153602</x:v>
      </x:c>
      <x:c r="K82" s="20" t="n">
        <x:v>60.642805</x:v>
      </x:c>
      <x:c r="L82" s="19" t="n">
        <x:v>1000</x:v>
      </x:c>
      <x:c r="M82" s="19" t="n">
        <x:v>6</x:v>
      </x:c>
      <x:c r="N82" s="19" t="n">
        <x:v>994</x:v>
      </x:c>
      <x:c r="O82" s="19" t="n">
        <x:v>3</x:v>
      </x:c>
      <x:c r="P82" s="19" t="n">
        <x:v>989</x:v>
      </x:c>
      <x:c r="Q82" s="19" t="n">
        <x:v>2</x:v>
      </x:c>
      <x:c r="R82" s="21" t="n">
        <x:f>P82/L82</x:f>
        <x:v>0.989</x:v>
      </x:c>
      <x:c r="S82" s="18" t="str">
        <x:v>iteration_limit</x:v>
      </x:c>
      <x:c r="T82" s="22" t="b">
        <x:v>0</x:v>
      </x:c>
      <x:c r="U82" s="19" t="n">
        <x:v>0</x:v>
      </x:c>
      <x:c r="V82" s="19" t="n">
        <x:v>0</x:v>
      </x:c>
      <x:c r="W82" s="19" t="n">
        <x:v>0</x:v>
      </x:c>
      <x:c r="X82" s="22" t="b">
        <x:v>0</x:v>
      </x:c>
      <x:c r="Y82" s="20" t="n">
        <x:v>0</x:v>
      </x:c>
      <x:c r="Z82" s="20" t="n">
        <x:v>0</x:v>
      </x:c>
      <x:c r="AA82" s="20" t="n">
        <x:v>0</x:v>
      </x:c>
      <x:c r="AB82" s="20" t="n">
        <x:v>1.851332</x:v>
      </x:c>
      <x:c r="AC82" s="20" t="n">
        <x:v>4</x:v>
      </x:c>
      <x:c r="AD82" s="20" t="n">
        <x:v>80.684092</x:v>
      </x:c>
      <x:c r="AE82" s="20" t="n">
        <x:v>214.082303</x:v>
      </x:c>
      <x:c r="AF82" s="18" t="str">
        <x:v>{"random_removal": 0.012860906622946764, "related_removal": 0.01380939691990539, "worst_removal": 0.011750930720031338}</x:v>
      </x:c>
      <x:c r="AG82" s="18" t="str">
        <x:v>{"greedy_insertion": 0.014072777006139545, "regret_2_insertion": 0.01210567579837191}</x:v>
      </x:c>
      <x:c r="AH82" s="18" t="str">
        <x:v>[["D0", "C8", "C17", "C85", "S13", "C95", "C5", "D0"], ["D0", "C70", "S3", "C9", "C29", "S1", "C25", "C28", "D0"], ["D0", "C56", "C23", "S17", "C57", "D0"], ["D0", "C50", "C69", "D0"]]</x:v>
      </x:c>
    </x:row>
    <x:row r="83">
      <x:c r="A83" s="18" t="str">
        <x:v>results/week6/main_fixed1000/alns_evrptw_summary.csv</x:v>
      </x:c>
      <x:c r="B83" s="18" t="str">
        <x:v>Full_ALNS_EVRPTW</x:v>
      </x:c>
      <x:c r="C83" s="18" t="str">
        <x:v>ALNS_EVRPTW_FULL_RECHARGE</x:v>
      </x:c>
      <x:c r="D83" s="18" t="str">
        <x:v>r202C5</x:v>
      </x:c>
      <x:c r="E83" s="19" t="n">
        <x:v>64</x:v>
      </x:c>
      <x:c r="F83" s="18" t="str">
        <x:v>R</x:v>
      </x:c>
      <x:c r="G83" s="19" t="n">
        <x:v>5</x:v>
      </x:c>
      <x:c r="H83" s="18" t="n">
        <x:v>1</x:v>
      </x:c>
      <x:c r="I83" s="19" t="n">
        <x:v>1</x:v>
      </x:c>
      <x:c r="J83" s="20" t="n">
        <x:v>128.777139</x:v>
      </x:c>
      <x:c r="K83" s="20" t="n">
        <x:v>2.762394</x:v>
      </x:c>
      <x:c r="L83" s="19" t="n">
        <x:v>1000</x:v>
      </x:c>
      <x:c r="M83" s="19" t="n">
        <x:v>0</x:v>
      </x:c>
      <x:c r="N83" s="19" t="n">
        <x:v>1000</x:v>
      </x:c>
      <x:c r="O83" s="19" t="n">
        <x:v>0</x:v>
      </x:c>
      <x:c r="P83" s="19" t="n">
        <x:v>1000</x:v>
      </x:c>
      <x:c r="Q83" s="19" t="n">
        <x:v>0</x:v>
      </x:c>
      <x:c r="R83" s="21" t="n">
        <x:f>P83/L83</x:f>
        <x:v>1</x:v>
      </x:c>
      <x:c r="S83" s="18" t="str">
        <x:v>iteration_limit</x:v>
      </x:c>
      <x:c r="T83" s="22" t="b">
        <x:v>0</x:v>
      </x:c>
      <x:c r="U83" s="19" t="n">
        <x:v>0</x:v>
      </x:c>
      <x:c r="V83" s="19" t="n">
        <x:v>0</x:v>
      </x:c>
      <x:c r="W83" s="19" t="n">
        <x:v>0</x:v>
      </x:c>
      <x:c r="X83" s="22" t="b">
        <x:v>0</x:v>
      </x:c>
      <x:c r="Y83" s="20" t="n">
        <x:v>0</x:v>
      </x:c>
      <x:c r="Z83" s="20" t="n">
        <x:v>0</x:v>
      </x:c>
      <x:c r="AA83" s="20" t="n">
        <x:v>0</x:v>
      </x:c>
      <x:c r="AB83" s="20" t="n">
        <x:v>0.273651</x:v>
      </x:c>
      <x:c r="AC83" s="20" t="n">
        <x:v>2</x:v>
      </x:c>
      <x:c r="AD83" s="20" t="n">
        <x:v>36.590343</x:v>
      </x:c>
      <x:c r="AE83" s="20" t="n">
        <x:v>213.443906</x:v>
      </x:c>
      <x:c r="AF83" s="18" t="str">
        <x:v>{"random_removal": 0.011529215046068483, "related_removal": 0.011529215046068483, "worst_removal": 0.011529215046068483}</x:v>
      </x:c>
      <x:c r="AG83" s="18" t="str">
        <x:v>{"greedy_insertion": 0.011529215046068483, "regret_2_insertion": 0.011529215046068483}</x:v>
      </x:c>
      <x:c r="AH83" s="18" t="str">
        <x:v>[["D0", "C77", "C72", "S15", "S13", "C37", "C17", "C18", "D0"]]</x:v>
      </x:c>
    </x:row>
    <x:row r="84">
      <x:c r="A84" s="18" t="str">
        <x:v>results/week6/main_fixed1000/alns_evrptw_summary.csv</x:v>
      </x:c>
      <x:c r="B84" s="18" t="str">
        <x:v>Full_ALNS_EVRPTW</x:v>
      </x:c>
      <x:c r="C84" s="18" t="str">
        <x:v>ALNS_EVRPTW_FULL_RECHARGE</x:v>
      </x:c>
      <x:c r="D84" s="18" t="str">
        <x:v>r202C5</x:v>
      </x:c>
      <x:c r="E84" s="19" t="n">
        <x:v>65</x:v>
      </x:c>
      <x:c r="F84" s="18" t="str">
        <x:v>R</x:v>
      </x:c>
      <x:c r="G84" s="19" t="n">
        <x:v>5</x:v>
      </x:c>
      <x:c r="H84" s="18" t="n">
        <x:v>1</x:v>
      </x:c>
      <x:c r="I84" s="19" t="n">
        <x:v>1</x:v>
      </x:c>
      <x:c r="J84" s="20" t="n">
        <x:v>128.777139</x:v>
      </x:c>
      <x:c r="K84" s="20" t="n">
        <x:v>2.834729</x:v>
      </x:c>
      <x:c r="L84" s="19" t="n">
        <x:v>1000</x:v>
      </x:c>
      <x:c r="M84" s="19" t="n">
        <x:v>0</x:v>
      </x:c>
      <x:c r="N84" s="19" t="n">
        <x:v>1000</x:v>
      </x:c>
      <x:c r="O84" s="19" t="n">
        <x:v>0</x:v>
      </x:c>
      <x:c r="P84" s="19" t="n">
        <x:v>1000</x:v>
      </x:c>
      <x:c r="Q84" s="19" t="n">
        <x:v>0</x:v>
      </x:c>
      <x:c r="R84" s="21" t="n">
        <x:f>P84/L84</x:f>
        <x:v>1</x:v>
      </x:c>
      <x:c r="S84" s="18" t="str">
        <x:v>iteration_limit</x:v>
      </x:c>
      <x:c r="T84" s="22" t="b">
        <x:v>0</x:v>
      </x:c>
      <x:c r="U84" s="19" t="n">
        <x:v>0</x:v>
      </x:c>
      <x:c r="V84" s="19" t="n">
        <x:v>0</x:v>
      </x:c>
      <x:c r="W84" s="19" t="n">
        <x:v>0</x:v>
      </x:c>
      <x:c r="X84" s="22" t="b">
        <x:v>0</x:v>
      </x:c>
      <x:c r="Y84" s="20" t="n">
        <x:v>0</x:v>
      </x:c>
      <x:c r="Z84" s="20" t="n">
        <x:v>0</x:v>
      </x:c>
      <x:c r="AA84" s="20" t="n">
        <x:v>0</x:v>
      </x:c>
      <x:c r="AB84" s="20" t="n">
        <x:v>0.273651</x:v>
      </x:c>
      <x:c r="AC84" s="20" t="n">
        <x:v>2</x:v>
      </x:c>
      <x:c r="AD84" s="20" t="n">
        <x:v>36.590343</x:v>
      </x:c>
      <x:c r="AE84" s="20" t="n">
        <x:v>213.443906</x:v>
      </x:c>
      <x:c r="AF84" s="18" t="str">
        <x:v>{"random_removal": 0.011529215046068483, "related_removal": 0.011529215046068483, "worst_removal": 0.011529215046068483}</x:v>
      </x:c>
      <x:c r="AG84" s="18" t="str">
        <x:v>{"greedy_insertion": 0.011529215046068483, "regret_2_insertion": 0.011529215046068483}</x:v>
      </x:c>
      <x:c r="AH84" s="18" t="str">
        <x:v>[["D0", "C77", "C72", "S15", "S13", "C37", "C17", "C18", "D0"]]</x:v>
      </x:c>
    </x:row>
    <x:row r="85">
      <x:c r="A85" s="18" t="str">
        <x:v>results/week6/main_fixed1000/alns_evrptw_summary.csv</x:v>
      </x:c>
      <x:c r="B85" s="18" t="str">
        <x:v>Full_ALNS_EVRPTW</x:v>
      </x:c>
      <x:c r="C85" s="18" t="str">
        <x:v>ALNS_EVRPTW_FULL_RECHARGE</x:v>
      </x:c>
      <x:c r="D85" s="18" t="str">
        <x:v>r202C5</x:v>
      </x:c>
      <x:c r="E85" s="19" t="n">
        <x:v>66</x:v>
      </x:c>
      <x:c r="F85" s="18" t="str">
        <x:v>R</x:v>
      </x:c>
      <x:c r="G85" s="19" t="n">
        <x:v>5</x:v>
      </x:c>
      <x:c r="H85" s="18" t="n">
        <x:v>1</x:v>
      </x:c>
      <x:c r="I85" s="19" t="n">
        <x:v>1</x:v>
      </x:c>
      <x:c r="J85" s="20" t="n">
        <x:v>128.777139</x:v>
      </x:c>
      <x:c r="K85" s="20" t="n">
        <x:v>2.88277</x:v>
      </x:c>
      <x:c r="L85" s="19" t="n">
        <x:v>1000</x:v>
      </x:c>
      <x:c r="M85" s="19" t="n">
        <x:v>0</x:v>
      </x:c>
      <x:c r="N85" s="19" t="n">
        <x:v>1000</x:v>
      </x:c>
      <x:c r="O85" s="19" t="n">
        <x:v>0</x:v>
      </x:c>
      <x:c r="P85" s="19" t="n">
        <x:v>1000</x:v>
      </x:c>
      <x:c r="Q85" s="19" t="n">
        <x:v>0</x:v>
      </x:c>
      <x:c r="R85" s="21" t="n">
        <x:f>P85/L85</x:f>
        <x:v>1</x:v>
      </x:c>
      <x:c r="S85" s="18" t="str">
        <x:v>iteration_limit</x:v>
      </x:c>
      <x:c r="T85" s="22" t="b">
        <x:v>0</x:v>
      </x:c>
      <x:c r="U85" s="19" t="n">
        <x:v>0</x:v>
      </x:c>
      <x:c r="V85" s="19" t="n">
        <x:v>0</x:v>
      </x:c>
      <x:c r="W85" s="19" t="n">
        <x:v>0</x:v>
      </x:c>
      <x:c r="X85" s="22" t="b">
        <x:v>0</x:v>
      </x:c>
      <x:c r="Y85" s="20" t="n">
        <x:v>0</x:v>
      </x:c>
      <x:c r="Z85" s="20" t="n">
        <x:v>0</x:v>
      </x:c>
      <x:c r="AA85" s="20" t="n">
        <x:v>0</x:v>
      </x:c>
      <x:c r="AB85" s="20" t="n">
        <x:v>0.273651</x:v>
      </x:c>
      <x:c r="AC85" s="20" t="n">
        <x:v>2</x:v>
      </x:c>
      <x:c r="AD85" s="20" t="n">
        <x:v>36.590343</x:v>
      </x:c>
      <x:c r="AE85" s="20" t="n">
        <x:v>213.443906</x:v>
      </x:c>
      <x:c r="AF85" s="18" t="str">
        <x:v>{"random_removal": 0.011529215046068483, "related_removal": 0.011529215046068483, "worst_removal": 0.011529215046068483}</x:v>
      </x:c>
      <x:c r="AG85" s="18" t="str">
        <x:v>{"greedy_insertion": 0.011529215046068483, "regret_2_insertion": 0.011529215046068483}</x:v>
      </x:c>
      <x:c r="AH85" s="18" t="str">
        <x:v>[["D0", "C77", "C72", "S15", "S13", "C37", "C17", "C18", "D0"]]</x:v>
      </x:c>
    </x:row>
    <x:row r="86">
      <x:c r="A86" s="18" t="str">
        <x:v>results/week6/main_fixed1000/alns_evrptw_summary.csv</x:v>
      </x:c>
      <x:c r="B86" s="18" t="str">
        <x:v>Full_ALNS_EVRPTW</x:v>
      </x:c>
      <x:c r="C86" s="18" t="str">
        <x:v>ALNS_EVRPTW_FULL_RECHARGE</x:v>
      </x:c>
      <x:c r="D86" s="18" t="str">
        <x:v>r201C10</x:v>
      </x:c>
      <x:c r="E86" s="19" t="n">
        <x:v>64</x:v>
      </x:c>
      <x:c r="F86" s="18" t="str">
        <x:v>R</x:v>
      </x:c>
      <x:c r="G86" s="19" t="n">
        <x:v>10</x:v>
      </x:c>
      <x:c r="H86" s="18" t="n">
        <x:v>1</x:v>
      </x:c>
      <x:c r="I86" s="19" t="n">
        <x:v>2</x:v>
      </x:c>
      <x:c r="J86" s="20" t="n">
        <x:v>228.355271</x:v>
      </x:c>
      <x:c r="K86" s="20" t="n">
        <x:v>15.957447</x:v>
      </x:c>
      <x:c r="L86" s="19" t="n">
        <x:v>1000</x:v>
      </x:c>
      <x:c r="M86" s="19" t="n">
        <x:v>226</x:v>
      </x:c>
      <x:c r="N86" s="19" t="n">
        <x:v>998</x:v>
      </x:c>
      <x:c r="O86" s="19" t="n">
        <x:v>4</x:v>
      </x:c>
      <x:c r="P86" s="19" t="n">
        <x:v>993</x:v>
      </x:c>
      <x:c r="Q86" s="19" t="n">
        <x:v>1</x:v>
      </x:c>
      <x:c r="R86" s="21" t="n">
        <x:f>P86/L86</x:f>
        <x:v>0.993</x:v>
      </x:c>
      <x:c r="S86" s="18" t="str">
        <x:v>iteration_limit</x:v>
      </x:c>
      <x:c r="T86" s="22" t="b">
        <x:v>0</x:v>
      </x:c>
      <x:c r="U86" s="19" t="n">
        <x:v>0</x:v>
      </x:c>
      <x:c r="V86" s="19" t="n">
        <x:v>0</x:v>
      </x:c>
      <x:c r="W86" s="19" t="n">
        <x:v>0</x:v>
      </x:c>
      <x:c r="X86" s="22" t="b">
        <x:v>0</x:v>
      </x:c>
      <x:c r="Y86" s="20" t="n">
        <x:v>0</x:v>
      </x:c>
      <x:c r="Z86" s="20" t="n">
        <x:v>0</x:v>
      </x:c>
      <x:c r="AA86" s="20" t="n">
        <x:v>0</x:v>
      </x:c>
      <x:c r="AB86" s="20" t="n">
        <x:v>4.088911</x:v>
      </x:c>
      <x:c r="AC86" s="20" t="n">
        <x:v>3</x:v>
      </x:c>
      <x:c r="AD86" s="20" t="n">
        <x:v>72.475779</x:v>
      </x:c>
      <x:c r="AE86" s="20" t="n">
        <x:v>780.520216</x:v>
      </x:c>
      <x:c r="AF86" s="18" t="str">
        <x:v>{"random_removal": 0.01429609901499644, "related_removal": 0.013330654897016687, "worst_removal": 0.011529215046068483}</x:v>
      </x:c>
      <x:c r="AG86" s="18" t="str">
        <x:v>{"greedy_insertion": 0.01433234262058828, "regret_2_insertion": 0.012009599006321335}</x:v>
      </x:c>
      <x:c r="AH86" s="18" t="str">
        <x:v>[["D0", "C72", "C100", "S13", "C84", "C18", "C94", "D0"], ["D0", "C77", "C28", "S0", "C50", "C32", "S5", "C31", "D0"]]</x:v>
      </x:c>
    </x:row>
    <x:row r="87">
      <x:c r="A87" s="18" t="str">
        <x:v>results/week6/main_fixed1000/alns_evrptw_summary.csv</x:v>
      </x:c>
      <x:c r="B87" s="18" t="str">
        <x:v>Full_ALNS_EVRPTW</x:v>
      </x:c>
      <x:c r="C87" s="18" t="str">
        <x:v>ALNS_EVRPTW_FULL_RECHARGE</x:v>
      </x:c>
      <x:c r="D87" s="18" t="str">
        <x:v>r201C10</x:v>
      </x:c>
      <x:c r="E87" s="19" t="n">
        <x:v>65</x:v>
      </x:c>
      <x:c r="F87" s="18" t="str">
        <x:v>R</x:v>
      </x:c>
      <x:c r="G87" s="19" t="n">
        <x:v>10</x:v>
      </x:c>
      <x:c r="H87" s="18" t="n">
        <x:v>1</x:v>
      </x:c>
      <x:c r="I87" s="19" t="n">
        <x:v>1</x:v>
      </x:c>
      <x:c r="J87" s="20" t="n">
        <x:v>241.505881</x:v>
      </x:c>
      <x:c r="K87" s="20" t="n">
        <x:v>27.340475</x:v>
      </x:c>
      <x:c r="L87" s="19" t="n">
        <x:v>1000</x:v>
      </x:c>
      <x:c r="M87" s="19" t="n">
        <x:v>1</x:v>
      </x:c>
      <x:c r="N87" s="19" t="n">
        <x:v>959</x:v>
      </x:c>
      <x:c r="O87" s="19" t="n">
        <x:v>1</x:v>
      </x:c>
      <x:c r="P87" s="19" t="n">
        <x:v>958</x:v>
      </x:c>
      <x:c r="Q87" s="19" t="n">
        <x:v>0</x:v>
      </x:c>
      <x:c r="R87" s="21" t="n">
        <x:f>P87/L87</x:f>
        <x:v>0.958</x:v>
      </x:c>
      <x:c r="S87" s="18" t="str">
        <x:v>iteration_limit</x:v>
      </x:c>
      <x:c r="T87" s="22" t="b">
        <x:v>0</x:v>
      </x:c>
      <x:c r="U87" s="19" t="n">
        <x:v>0</x:v>
      </x:c>
      <x:c r="V87" s="19" t="n">
        <x:v>0</x:v>
      </x:c>
      <x:c r="W87" s="19" t="n">
        <x:v>0</x:v>
      </x:c>
      <x:c r="X87" s="22" t="b">
        <x:v>0</x:v>
      </x:c>
      <x:c r="Y87" s="20" t="n">
        <x:v>0</x:v>
      </x:c>
      <x:c r="Z87" s="20" t="n">
        <x:v>0</x:v>
      </x:c>
      <x:c r="AA87" s="20" t="n">
        <x:v>0</x:v>
      </x:c>
      <x:c r="AB87" s="20" t="n">
        <x:v>0.230403</x:v>
      </x:c>
      <x:c r="AC87" s="20" t="n">
        <x:v>5</x:v>
      </x:c>
      <x:c r="AD87" s="20" t="n">
        <x:v>104.664649</x:v>
      </x:c>
      <x:c r="AE87" s="20" t="n">
        <x:v>254.516503</x:v>
      </x:c>
      <x:c r="AF87" s="18" t="str">
        <x:v>{"random_removal": 0.011529215046068483, "related_removal": 0.011529215046068483, "worst_removal": 0.012249790986447762}</x:v>
      </x:c>
      <x:c r="AG87" s="18" t="str">
        <x:v>{"greedy_insertion": 0.012129694996384555, "regret_2_insertion": 0.011529215046068483}</x:v>
      </x:c>
      <x:c r="AH87" s="18" t="str">
        <x:v>[["D0", "C100", "S15", "C72", "C77", "C28", "S0", "C18", "C84", "S13", "C94", "S0", "C50", "C32", "S5", "C31", "D0"]]</x:v>
      </x:c>
    </x:row>
    <x:row r="88">
      <x:c r="A88" s="18" t="str">
        <x:v>results/week6/main_fixed1000/alns_evrptw_summary.csv</x:v>
      </x:c>
      <x:c r="B88" s="18" t="str">
        <x:v>Full_ALNS_EVRPTW</x:v>
      </x:c>
      <x:c r="C88" s="18" t="str">
        <x:v>ALNS_EVRPTW_FULL_RECHARGE</x:v>
      </x:c>
      <x:c r="D88" s="18" t="str">
        <x:v>r201C10</x:v>
      </x:c>
      <x:c r="E88" s="19" t="n">
        <x:v>66</x:v>
      </x:c>
      <x:c r="F88" s="18" t="str">
        <x:v>R</x:v>
      </x:c>
      <x:c r="G88" s="19" t="n">
        <x:v>10</x:v>
      </x:c>
      <x:c r="H88" s="18" t="n">
        <x:v>1</x:v>
      </x:c>
      <x:c r="I88" s="19" t="n">
        <x:v>1</x:v>
      </x:c>
      <x:c r="J88" s="20" t="n">
        <x:v>241.505881</x:v>
      </x:c>
      <x:c r="K88" s="20" t="n">
        <x:v>28.335103</x:v>
      </x:c>
      <x:c r="L88" s="19" t="n">
        <x:v>1000</x:v>
      </x:c>
      <x:c r="M88" s="19" t="n">
        <x:v>1</x:v>
      </x:c>
      <x:c r="N88" s="19" t="n">
        <x:v>965</x:v>
      </x:c>
      <x:c r="O88" s="19" t="n">
        <x:v>1</x:v>
      </x:c>
      <x:c r="P88" s="19" t="n">
        <x:v>964</x:v>
      </x:c>
      <x:c r="Q88" s="19" t="n">
        <x:v>0</x:v>
      </x:c>
      <x:c r="R88" s="21" t="n">
        <x:f>P88/L88</x:f>
        <x:v>0.964</x:v>
      </x:c>
      <x:c r="S88" s="18" t="str">
        <x:v>iteration_limit</x:v>
      </x:c>
      <x:c r="T88" s="22" t="b">
        <x:v>0</x:v>
      </x:c>
      <x:c r="U88" s="19" t="n">
        <x:v>0</x:v>
      </x:c>
      <x:c r="V88" s="19" t="n">
        <x:v>0</x:v>
      </x:c>
      <x:c r="W88" s="19" t="n">
        <x:v>0</x:v>
      </x:c>
      <x:c r="X88" s="22" t="b">
        <x:v>0</x:v>
      </x:c>
      <x:c r="Y88" s="20" t="n">
        <x:v>0</x:v>
      </x:c>
      <x:c r="Z88" s="20" t="n">
        <x:v>0</x:v>
      </x:c>
      <x:c r="AA88" s="20" t="n">
        <x:v>0</x:v>
      </x:c>
      <x:c r="AB88" s="20" t="n">
        <x:v>0.230403</x:v>
      </x:c>
      <x:c r="AC88" s="20" t="n">
        <x:v>5</x:v>
      </x:c>
      <x:c r="AD88" s="20" t="n">
        <x:v>104.664649</x:v>
      </x:c>
      <x:c r="AE88" s="20" t="n">
        <x:v>254.516503</x:v>
      </x:c>
      <x:c r="AF88" s="18" t="str">
        <x:v>{"random_removal": 0.012376951446514694, "related_removal": 0.011529215046068483, "worst_removal": 0.011529215046068483}</x:v>
      </x:c>
      <x:c r="AG88" s="18" t="str">
        <x:v>{"greedy_insertion": 0.012083504230975617, "regret_2_insertion": 0.011529215046068483}</x:v>
      </x:c>
      <x:c r="AH88" s="18" t="str">
        <x:v>[["D0", "C100", "S15", "C72", "C77", "C28", "S0", "C18", "C84", "S13", "C94", "S0", "C50", "C32", "S5", "C31", "D0"]]</x:v>
      </x:c>
    </x:row>
    <x:row r="89">
      <x:c r="A89" s="18" t="str">
        <x:v>results/week6/main_fixed1000/alns_evrptw_summary.csv</x:v>
      </x:c>
      <x:c r="B89" s="18" t="str">
        <x:v>Full_ALNS_EVRPTW</x:v>
      </x:c>
      <x:c r="C89" s="18" t="str">
        <x:v>ALNS_EVRPTW_FULL_RECHARGE</x:v>
      </x:c>
      <x:c r="D89" s="18" t="str">
        <x:v>r202C15</x:v>
      </x:c>
      <x:c r="E89" s="19" t="n">
        <x:v>64</x:v>
      </x:c>
      <x:c r="F89" s="18" t="str">
        <x:v>R</x:v>
      </x:c>
      <x:c r="G89" s="19" t="n">
        <x:v>15</x:v>
      </x:c>
      <x:c r="H89" s="18" t="n">
        <x:v>1</x:v>
      </x:c>
      <x:c r="I89" s="19" t="n">
        <x:v>2</x:v>
      </x:c>
      <x:c r="J89" s="20" t="n">
        <x:v>358.004778</x:v>
      </x:c>
      <x:c r="K89" s="20" t="n">
        <x:v>180.584925</x:v>
      </x:c>
      <x:c r="L89" s="19" t="n">
        <x:v>1000</x:v>
      </x:c>
      <x:c r="M89" s="19" t="n">
        <x:v>287</x:v>
      </x:c>
      <x:c r="N89" s="19" t="n">
        <x:v>952</x:v>
      </x:c>
      <x:c r="O89" s="19" t="n">
        <x:v>10</x:v>
      </x:c>
      <x:c r="P89" s="19" t="n">
        <x:v>937</x:v>
      </x:c>
      <x:c r="Q89" s="19" t="n">
        <x:v>5</x:v>
      </x:c>
      <x:c r="R89" s="21" t="n">
        <x:f>P89/L89</x:f>
        <x:v>0.937</x:v>
      </x:c>
      <x:c r="S89" s="18" t="str">
        <x:v>iteration_limit</x:v>
      </x:c>
      <x:c r="T89" s="22" t="b">
        <x:v>0</x:v>
      </x:c>
      <x:c r="U89" s="19" t="n">
        <x:v>0</x:v>
      </x:c>
      <x:c r="V89" s="19" t="n">
        <x:v>0</x:v>
      </x:c>
      <x:c r="W89" s="19" t="n">
        <x:v>0</x:v>
      </x:c>
      <x:c r="X89" s="22" t="b">
        <x:v>0</x:v>
      </x:c>
      <x:c r="Y89" s="20" t="n">
        <x:v>0</x:v>
      </x:c>
      <x:c r="Z89" s="20" t="n">
        <x:v>0</x:v>
      </x:c>
      <x:c r="AA89" s="20" t="n">
        <x:v>0</x:v>
      </x:c>
      <x:c r="AB89" s="20" t="n">
        <x:v>2.718822</x:v>
      </x:c>
      <x:c r="AC89" s="20" t="n">
        <x:v>6</x:v>
      </x:c>
      <x:c r="AD89" s="20" t="n">
        <x:v>126.212259</x:v>
      </x:c>
      <x:c r="AE89" s="20" t="n">
        <x:v>772.315542</x:v>
      </x:c>
      <x:c r="AF89" s="18" t="str">
        <x:v>{"random_removal": 0.018336097544606213, "related_removal": 0.01630072111281076, "worst_removal": 0.012588885546626247}</x:v>
      </x:c>
      <x:c r="AG89" s="18" t="str">
        <x:v>{"greedy_insertion": 0.0144287739785717, "regret_2_insertion": 0.0175293480670842}</x:v>
      </x:c>
      <x:c r="AH89" s="18" t="str">
        <x:v>[["D0", "C79", "C70", "S5", "C11", "C46", "C48", "S9", "C61", "S13", "C87", "C85", "D0"], ["D0", "S13", "C44", "C38", "C42", "S15", "C72", "C23", "S19", "C25", "C41", "D0"]]</x:v>
      </x:c>
    </x:row>
    <x:row r="90">
      <x:c r="A90" s="18" t="str">
        <x:v>results/week6/main_fixed1000/alns_evrptw_summary.csv</x:v>
      </x:c>
      <x:c r="B90" s="18" t="str">
        <x:v>Full_ALNS_EVRPTW</x:v>
      </x:c>
      <x:c r="C90" s="18" t="str">
        <x:v>ALNS_EVRPTW_FULL_RECHARGE</x:v>
      </x:c>
      <x:c r="D90" s="18" t="str">
        <x:v>r202C15</x:v>
      </x:c>
      <x:c r="E90" s="19" t="n">
        <x:v>65</x:v>
      </x:c>
      <x:c r="F90" s="18" t="str">
        <x:v>R</x:v>
      </x:c>
      <x:c r="G90" s="19" t="n">
        <x:v>15</x:v>
      </x:c>
      <x:c r="H90" s="18" t="n">
        <x:v>1</x:v>
      </x:c>
      <x:c r="I90" s="19" t="n">
        <x:v>2</x:v>
      </x:c>
      <x:c r="J90" s="20" t="n">
        <x:v>406.804399</x:v>
      </x:c>
      <x:c r="K90" s="20" t="n">
        <x:v>293.469101</x:v>
      </x:c>
      <x:c r="L90" s="19" t="n">
        <x:v>1000</x:v>
      </x:c>
      <x:c r="M90" s="19" t="n">
        <x:v>7</x:v>
      </x:c>
      <x:c r="N90" s="19" t="n">
        <x:v>853</x:v>
      </x:c>
      <x:c r="O90" s="19" t="n">
        <x:v>6</x:v>
      </x:c>
      <x:c r="P90" s="19" t="n">
        <x:v>843</x:v>
      </x:c>
      <x:c r="Q90" s="19" t="n">
        <x:v>4</x:v>
      </x:c>
      <x:c r="R90" s="21" t="n">
        <x:f>P90/L90</x:f>
        <x:v>0.843</x:v>
      </x:c>
      <x:c r="S90" s="18" t="str">
        <x:v>iteration_limit</x:v>
      </x:c>
      <x:c r="T90" s="22" t="b">
        <x:v>0</x:v>
      </x:c>
      <x:c r="U90" s="19" t="n">
        <x:v>0</x:v>
      </x:c>
      <x:c r="V90" s="19" t="n">
        <x:v>0</x:v>
      </x:c>
      <x:c r="W90" s="19" t="n">
        <x:v>0</x:v>
      </x:c>
      <x:c r="X90" s="22" t="b">
        <x:v>0</x:v>
      </x:c>
      <x:c r="Y90" s="20" t="n">
        <x:v>0</x:v>
      </x:c>
      <x:c r="Z90" s="20" t="n">
        <x:v>0</x:v>
      </x:c>
      <x:c r="AA90" s="20" t="n">
        <x:v>0</x:v>
      </x:c>
      <x:c r="AB90" s="20" t="n">
        <x:v>1.762948</x:v>
      </x:c>
      <x:c r="AC90" s="20" t="n">
        <x:v>7</x:v>
      </x:c>
      <x:c r="AD90" s="20" t="n">
        <x:v>143.176814</x:v>
      </x:c>
      <x:c r="AE90" s="20" t="n">
        <x:v>942.968532</x:v>
      </x:c>
      <x:c r="AF90" s="18" t="str">
        <x:v>{"random_removal": 0.013685825140357042, "related_removal": 0.015486316945547163, "worst_removal": 0.011529215046068483}</x:v>
      </x:c>
      <x:c r="AG90" s="18" t="str">
        <x:v>{"greedy_insertion": 0.01328351883146445, "regret_2_insertion": 0.013973958484183594}</x:v>
      </x:c>
      <x:c r="AH90" s="18" t="str">
        <x:v>[["D0", "S13", "C44", "S9", "C46", "C48", "S9", "C61", "S13", "C87", "C42", "C38", "S13", "C85", "C11", "S5", "C70", "C79", "D0"], ["D0", "C72", "C23", "S19", "C25", "C41", "D0"]]</x:v>
      </x:c>
    </x:row>
    <x:row r="91">
      <x:c r="A91" s="18" t="str">
        <x:v>results/week6/main_fixed1000/alns_evrptw_summary.csv</x:v>
      </x:c>
      <x:c r="B91" s="18" t="str">
        <x:v>Full_ALNS_EVRPTW</x:v>
      </x:c>
      <x:c r="C91" s="18" t="str">
        <x:v>ALNS_EVRPTW_FULL_RECHARGE</x:v>
      </x:c>
      <x:c r="D91" s="18" t="str">
        <x:v>r202C15</x:v>
      </x:c>
      <x:c r="E91" s="19" t="n">
        <x:v>66</x:v>
      </x:c>
      <x:c r="F91" s="18" t="str">
        <x:v>R</x:v>
      </x:c>
      <x:c r="G91" s="19" t="n">
        <x:v>15</x:v>
      </x:c>
      <x:c r="H91" s="18" t="n">
        <x:v>1</x:v>
      </x:c>
      <x:c r="I91" s="19" t="n">
        <x:v>2</x:v>
      </x:c>
      <x:c r="J91" s="20" t="n">
        <x:v>358.004778</x:v>
      </x:c>
      <x:c r="K91" s="20" t="n">
        <x:v>174.530089</x:v>
      </x:c>
      <x:c r="L91" s="19" t="n">
        <x:v>1000</x:v>
      </x:c>
      <x:c r="M91" s="19" t="n">
        <x:v>146</x:v>
      </x:c>
      <x:c r="N91" s="19" t="n">
        <x:v>979</x:v>
      </x:c>
      <x:c r="O91" s="19" t="n">
        <x:v>8</x:v>
      </x:c>
      <x:c r="P91" s="19" t="n">
        <x:v>969</x:v>
      </x:c>
      <x:c r="Q91" s="19" t="n">
        <x:v>2</x:v>
      </x:c>
      <x:c r="R91" s="21" t="n">
        <x:f>P91/L91</x:f>
        <x:v>0.969</x:v>
      </x:c>
      <x:c r="S91" s="18" t="str">
        <x:v>iteration_limit</x:v>
      </x:c>
      <x:c r="T91" s="22" t="b">
        <x:v>0</x:v>
      </x:c>
      <x:c r="U91" s="19" t="n">
        <x:v>0</x:v>
      </x:c>
      <x:c r="V91" s="19" t="n">
        <x:v>0</x:v>
      </x:c>
      <x:c r="W91" s="19" t="n">
        <x:v>0</x:v>
      </x:c>
      <x:c r="X91" s="22" t="b">
        <x:v>0</x:v>
      </x:c>
      <x:c r="Y91" s="20" t="n">
        <x:v>0</x:v>
      </x:c>
      <x:c r="Z91" s="20" t="n">
        <x:v>0</x:v>
      </x:c>
      <x:c r="AA91" s="20" t="n">
        <x:v>0</x:v>
      </x:c>
      <x:c r="AB91" s="20" t="n">
        <x:v>2.718822</x:v>
      </x:c>
      <x:c r="AC91" s="20" t="n">
        <x:v>6</x:v>
      </x:c>
      <x:c r="AD91" s="20" t="n">
        <x:v>126.212259</x:v>
      </x:c>
      <x:c r="AE91" s="20" t="n">
        <x:v>772.315542</x:v>
      </x:c>
      <x:c r="AF91" s="18" t="str">
        <x:v>{"random_removal": 0.0165492274307108, "related_removal": 0.012917142567594487, "worst_removal": 0.012888195986257477}</x:v>
      </x:c>
      <x:c r="AG91" s="18" t="str">
        <x:v>{"greedy_insertion": 0.014729211155683855, "regret_2_insertion": 0.013828964514899664}</x:v>
      </x:c>
      <x:c r="AH91" s="18" t="str">
        <x:v>[["D0", "C79", "C70", "S5", "C11", "C46", "C48", "S9", "C61", "S13", "C87", "C85", "D0"], ["D0", "S13", "C44", "C38", "C42", "S15", "C72", "C23", "S19", "C25", "C41", "D0"]]</x:v>
      </x:c>
    </x:row>
    <x:row r="92">
      <x:c r="A92" s="18" t="str">
        <x:v>results/week6/main_fixed1000/alns_evrptw_summary.csv</x:v>
      </x:c>
      <x:c r="B92" s="18" t="str">
        <x:v>Full_ALNS_EVRPTW</x:v>
      </x:c>
      <x:c r="C92" s="18" t="str">
        <x:v>ALNS_EVRPTW_FULL_RECHARGE</x:v>
      </x:c>
      <x:c r="D92" s="18" t="str">
        <x:v>rc105C5</x:v>
      </x:c>
      <x:c r="E92" s="19" t="n">
        <x:v>64</x:v>
      </x:c>
      <x:c r="F92" s="18" t="str">
        <x:v>RC</x:v>
      </x:c>
      <x:c r="G92" s="19" t="n">
        <x:v>5</x:v>
      </x:c>
      <x:c r="H92" s="18" t="n">
        <x:v>1</x:v>
      </x:c>
      <x:c r="I92" s="19" t="n">
        <x:v>3</x:v>
      </x:c>
      <x:c r="J92" s="20" t="n">
        <x:v>238.052232</x:v>
      </x:c>
      <x:c r="K92" s="20" t="n">
        <x:v>1.200469</x:v>
      </x:c>
      <x:c r="L92" s="19" t="n">
        <x:v>1000</x:v>
      </x:c>
      <x:c r="M92" s="19" t="n">
        <x:v>0</x:v>
      </x:c>
      <x:c r="N92" s="19" t="n">
        <x:v>1000</x:v>
      </x:c>
      <x:c r="O92" s="19" t="n">
        <x:v>0</x:v>
      </x:c>
      <x:c r="P92" s="19" t="n">
        <x:v>1000</x:v>
      </x:c>
      <x:c r="Q92" s="19" t="n">
        <x:v>0</x:v>
      </x:c>
      <x:c r="R92" s="21" t="n">
        <x:f>P92/L92</x:f>
        <x:v>1</x:v>
      </x:c>
      <x:c r="S92" s="18" t="str">
        <x:v>iteration_limit</x:v>
      </x:c>
      <x:c r="T92" s="22" t="b">
        <x:v>0</x:v>
      </x:c>
      <x:c r="U92" s="19" t="n">
        <x:v>0</x:v>
      </x:c>
      <x:c r="V92" s="19" t="n">
        <x:v>0</x:v>
      </x:c>
      <x:c r="W92" s="19" t="n">
        <x:v>0</x:v>
      </x:c>
      <x:c r="X92" s="22" t="b">
        <x:v>0</x:v>
      </x:c>
      <x:c r="Y92" s="20" t="n">
        <x:v>0</x:v>
      </x:c>
      <x:c r="Z92" s="20" t="n">
        <x:v>0</x:v>
      </x:c>
      <x:c r="AA92" s="20" t="n">
        <x:v>0</x:v>
      </x:c>
      <x:c r="AB92" s="20" t="n">
        <x:v>7.75</x:v>
      </x:c>
      <x:c r="AC92" s="20" t="n">
        <x:v>1</x:v>
      </x:c>
      <x:c r="AD92" s="20" t="n">
        <x:v>19.098411</x:v>
      </x:c>
      <x:c r="AE92" s="20" t="n">
        <x:v>110.096371</x:v>
      </x:c>
      <x:c r="AF92" s="18" t="str">
        <x:v>{"random_removal": 0.011529215046068483, "related_removal": 0.011529215046068483, "worst_removal": 0.011529215046068483}</x:v>
      </x:c>
      <x:c r="AG92" s="18" t="str">
        <x:v>{"greedy_insertion": 0.011529215046068483, "regret_2_insertion": 0.011529215046068483}</x:v>
      </x:c>
      <x:c r="AH92" s="18" t="str">
        <x:v>[["D0", "C55", "S3", "C36", "D0"], ["D0", "C11", "C82", "D0"], ["D0", "C22", "D0"]]</x:v>
      </x:c>
    </x:row>
    <x:row r="93">
      <x:c r="A93" s="18" t="str">
        <x:v>results/week6/main_fixed1000/alns_evrptw_summary.csv</x:v>
      </x:c>
      <x:c r="B93" s="18" t="str">
        <x:v>Full_ALNS_EVRPTW</x:v>
      </x:c>
      <x:c r="C93" s="18" t="str">
        <x:v>ALNS_EVRPTW_FULL_RECHARGE</x:v>
      </x:c>
      <x:c r="D93" s="18" t="str">
        <x:v>rc105C5</x:v>
      </x:c>
      <x:c r="E93" s="19" t="n">
        <x:v>65</x:v>
      </x:c>
      <x:c r="F93" s="18" t="str">
        <x:v>RC</x:v>
      </x:c>
      <x:c r="G93" s="19" t="n">
        <x:v>5</x:v>
      </x:c>
      <x:c r="H93" s="18" t="n">
        <x:v>1</x:v>
      </x:c>
      <x:c r="I93" s="19" t="n">
        <x:v>3</x:v>
      </x:c>
      <x:c r="J93" s="20" t="n">
        <x:v>238.052232</x:v>
      </x:c>
      <x:c r="K93" s="20" t="n">
        <x:v>1.169266</x:v>
      </x:c>
      <x:c r="L93" s="19" t="n">
        <x:v>1000</x:v>
      </x:c>
      <x:c r="M93" s="19" t="n">
        <x:v>0</x:v>
      </x:c>
      <x:c r="N93" s="19" t="n">
        <x:v>1000</x:v>
      </x:c>
      <x:c r="O93" s="19" t="n">
        <x:v>0</x:v>
      </x:c>
      <x:c r="P93" s="19" t="n">
        <x:v>1000</x:v>
      </x:c>
      <x:c r="Q93" s="19" t="n">
        <x:v>0</x:v>
      </x:c>
      <x:c r="R93" s="21" t="n">
        <x:f>P93/L93</x:f>
        <x:v>1</x:v>
      </x:c>
      <x:c r="S93" s="18" t="str">
        <x:v>iteration_limit</x:v>
      </x:c>
      <x:c r="T93" s="22" t="b">
        <x:v>0</x:v>
      </x:c>
      <x:c r="U93" s="19" t="n">
        <x:v>0</x:v>
      </x:c>
      <x:c r="V93" s="19" t="n">
        <x:v>0</x:v>
      </x:c>
      <x:c r="W93" s="19" t="n">
        <x:v>0</x:v>
      </x:c>
      <x:c r="X93" s="22" t="b">
        <x:v>0</x:v>
      </x:c>
      <x:c r="Y93" s="20" t="n">
        <x:v>0</x:v>
      </x:c>
      <x:c r="Z93" s="20" t="n">
        <x:v>0</x:v>
      </x:c>
      <x:c r="AA93" s="20" t="n">
        <x:v>0</x:v>
      </x:c>
      <x:c r="AB93" s="20" t="n">
        <x:v>7.75</x:v>
      </x:c>
      <x:c r="AC93" s="20" t="n">
        <x:v>1</x:v>
      </x:c>
      <x:c r="AD93" s="20" t="n">
        <x:v>19.098411</x:v>
      </x:c>
      <x:c r="AE93" s="20" t="n">
        <x:v>110.096371</x:v>
      </x:c>
      <x:c r="AF93" s="18" t="str">
        <x:v>{"random_removal": 0.011529215046068483, "related_removal": 0.011529215046068483, "worst_removal": 0.011529215046068483}</x:v>
      </x:c>
      <x:c r="AG93" s="18" t="str">
        <x:v>{"greedy_insertion": 0.011529215046068483, "regret_2_insertion": 0.011529215046068483}</x:v>
      </x:c>
      <x:c r="AH93" s="18" t="str">
        <x:v>[["D0", "C55", "S3", "C36", "D0"], ["D0", "C11", "C82", "D0"], ["D0", "C22", "D0"]]</x:v>
      </x:c>
    </x:row>
    <x:row r="94">
      <x:c r="A94" s="18" t="str">
        <x:v>results/week6/main_fixed1000/alns_evrptw_summary.csv</x:v>
      </x:c>
      <x:c r="B94" s="18" t="str">
        <x:v>Full_ALNS_EVRPTW</x:v>
      </x:c>
      <x:c r="C94" s="18" t="str">
        <x:v>ALNS_EVRPTW_FULL_RECHARGE</x:v>
      </x:c>
      <x:c r="D94" s="18" t="str">
        <x:v>rc105C5</x:v>
      </x:c>
      <x:c r="E94" s="19" t="n">
        <x:v>66</x:v>
      </x:c>
      <x:c r="F94" s="18" t="str">
        <x:v>RC</x:v>
      </x:c>
      <x:c r="G94" s="19" t="n">
        <x:v>5</x:v>
      </x:c>
      <x:c r="H94" s="18" t="n">
        <x:v>1</x:v>
      </x:c>
      <x:c r="I94" s="19" t="n">
        <x:v>3</x:v>
      </x:c>
      <x:c r="J94" s="20" t="n">
        <x:v>238.052232</x:v>
      </x:c>
      <x:c r="K94" s="20" t="n">
        <x:v>1.200468</x:v>
      </x:c>
      <x:c r="L94" s="19" t="n">
        <x:v>1000</x:v>
      </x:c>
      <x:c r="M94" s="19" t="n">
        <x:v>0</x:v>
      </x:c>
      <x:c r="N94" s="19" t="n">
        <x:v>1000</x:v>
      </x:c>
      <x:c r="O94" s="19" t="n">
        <x:v>0</x:v>
      </x:c>
      <x:c r="P94" s="19" t="n">
        <x:v>1000</x:v>
      </x:c>
      <x:c r="Q94" s="19" t="n">
        <x:v>0</x:v>
      </x:c>
      <x:c r="R94" s="21" t="n">
        <x:f>P94/L94</x:f>
        <x:v>1</x:v>
      </x:c>
      <x:c r="S94" s="18" t="str">
        <x:v>iteration_limit</x:v>
      </x:c>
      <x:c r="T94" s="22" t="b">
        <x:v>0</x:v>
      </x:c>
      <x:c r="U94" s="19" t="n">
        <x:v>0</x:v>
      </x:c>
      <x:c r="V94" s="19" t="n">
        <x:v>0</x:v>
      </x:c>
      <x:c r="W94" s="19" t="n">
        <x:v>0</x:v>
      </x:c>
      <x:c r="X94" s="22" t="b">
        <x:v>0</x:v>
      </x:c>
      <x:c r="Y94" s="20" t="n">
        <x:v>0</x:v>
      </x:c>
      <x:c r="Z94" s="20" t="n">
        <x:v>0</x:v>
      </x:c>
      <x:c r="AA94" s="20" t="n">
        <x:v>0</x:v>
      </x:c>
      <x:c r="AB94" s="20" t="n">
        <x:v>7.75</x:v>
      </x:c>
      <x:c r="AC94" s="20" t="n">
        <x:v>1</x:v>
      </x:c>
      <x:c r="AD94" s="20" t="n">
        <x:v>19.098411</x:v>
      </x:c>
      <x:c r="AE94" s="20" t="n">
        <x:v>110.096371</x:v>
      </x:c>
      <x:c r="AF94" s="18" t="str">
        <x:v>{"random_removal": 0.011529215046068483, "related_removal": 0.011529215046068483, "worst_removal": 0.011529215046068483}</x:v>
      </x:c>
      <x:c r="AG94" s="18" t="str">
        <x:v>{"greedy_insertion": 0.011529215046068483, "regret_2_insertion": 0.011529215046068483}</x:v>
      </x:c>
      <x:c r="AH94" s="18" t="str">
        <x:v>[["D0", "C55", "S3", "C36", "D0"], ["D0", "C11", "C82", "D0"], ["D0", "C22", "D0"]]</x:v>
      </x:c>
    </x:row>
    <x:row r="95">
      <x:c r="A95" s="18" t="str">
        <x:v>results/week6/main_fixed1000/alns_evrptw_summary.csv</x:v>
      </x:c>
      <x:c r="B95" s="18" t="str">
        <x:v>Full_ALNS_EVRPTW</x:v>
      </x:c>
      <x:c r="C95" s="18" t="str">
        <x:v>ALNS_EVRPTW_FULL_RECHARGE</x:v>
      </x:c>
      <x:c r="D95" s="18" t="str">
        <x:v>rc102C10</x:v>
      </x:c>
      <x:c r="E95" s="19" t="n">
        <x:v>64</x:v>
      </x:c>
      <x:c r="F95" s="18" t="str">
        <x:v>RC</x:v>
      </x:c>
      <x:c r="G95" s="19" t="n">
        <x:v>10</x:v>
      </x:c>
      <x:c r="H95" s="18" t="n">
        <x:v>1</x:v>
      </x:c>
      <x:c r="I95" s="19" t="n">
        <x:v>4</x:v>
      </x:c>
      <x:c r="J95" s="20" t="n">
        <x:v>423.510182</x:v>
      </x:c>
      <x:c r="K95" s="20" t="n">
        <x:v>9.157004</x:v>
      </x:c>
      <x:c r="L95" s="19" t="n">
        <x:v>1000</x:v>
      </x:c>
      <x:c r="M95" s="19" t="n">
        <x:v>0</x:v>
      </x:c>
      <x:c r="N95" s="19" t="n">
        <x:v>970</x:v>
      </x:c>
      <x:c r="O95" s="19" t="n">
        <x:v>0</x:v>
      </x:c>
      <x:c r="P95" s="19" t="n">
        <x:v>970</x:v>
      </x:c>
      <x:c r="Q95" s="19" t="n">
        <x:v>0</x:v>
      </x:c>
      <x:c r="R95" s="21" t="n">
        <x:f>P95/L95</x:f>
        <x:v>0.97</x:v>
      </x:c>
      <x:c r="S95" s="18" t="str">
        <x:v>iteration_limit</x:v>
      </x:c>
      <x:c r="T95" s="22" t="b">
        <x:v>0</x:v>
      </x:c>
      <x:c r="U95" s="19" t="n">
        <x:v>0</x:v>
      </x:c>
      <x:c r="V95" s="19" t="n">
        <x:v>0</x:v>
      </x:c>
      <x:c r="W95" s="19" t="n">
        <x:v>0</x:v>
      </x:c>
      <x:c r="X95" s="22" t="b">
        <x:v>0</x:v>
      </x:c>
      <x:c r="Y95" s="20" t="n">
        <x:v>0</x:v>
      </x:c>
      <x:c r="Z95" s="20" t="n">
        <x:v>0</x:v>
      </x:c>
      <x:c r="AA95" s="20" t="n">
        <x:v>0</x:v>
      </x:c>
      <x:c r="AB95" s="20" t="n">
        <x:v>0.51776</x:v>
      </x:c>
      <x:c r="AC95" s="20" t="n">
        <x:v>3</x:v>
      </x:c>
      <x:c r="AD95" s="20" t="n">
        <x:v>69.382613</x:v>
      </x:c>
      <x:c r="AE95" s="20" t="n">
        <x:v>86.835319</x:v>
      </x:c>
      <x:c r="AF95" s="18" t="str">
        <x:v>{"random_removal": 0.011529215046068483, "related_removal": 0.011529215046068483, "worst_removal": 0.011529215046068483}</x:v>
      </x:c>
      <x:c r="AG95" s="18" t="str">
        <x:v>{"greedy_insertion": 0.011529215046068483, "regret_2_insertion": 0.011529215046068483}</x:v>
      </x:c>
      <x:c r="AH95" s="18" t="str">
        <x:v>[["D0", "C57", "C49", "S15", "C92", "C54", "D0"], ["D0", "C44", "S1", "C26", "S19", "D0"], ["D0", "C45", "C70", "D0"], ["D0", "C53", "C11", "D0"]]</x:v>
      </x:c>
    </x:row>
    <x:row r="96">
      <x:c r="A96" s="18" t="str">
        <x:v>results/week6/main_fixed1000/alns_evrptw_summary.csv</x:v>
      </x:c>
      <x:c r="B96" s="18" t="str">
        <x:v>Full_ALNS_EVRPTW</x:v>
      </x:c>
      <x:c r="C96" s="18" t="str">
        <x:v>ALNS_EVRPTW_FULL_RECHARGE</x:v>
      </x:c>
      <x:c r="D96" s="18" t="str">
        <x:v>rc102C10</x:v>
      </x:c>
      <x:c r="E96" s="19" t="n">
        <x:v>65</x:v>
      </x:c>
      <x:c r="F96" s="18" t="str">
        <x:v>RC</x:v>
      </x:c>
      <x:c r="G96" s="19" t="n">
        <x:v>10</x:v>
      </x:c>
      <x:c r="H96" s="18" t="n">
        <x:v>1</x:v>
      </x:c>
      <x:c r="I96" s="19" t="n">
        <x:v>4</x:v>
      </x:c>
      <x:c r="J96" s="20" t="n">
        <x:v>423.510182</x:v>
      </x:c>
      <x:c r="K96" s="20" t="n">
        <x:v>8.805708</x:v>
      </x:c>
      <x:c r="L96" s="19" t="n">
        <x:v>1000</x:v>
      </x:c>
      <x:c r="M96" s="19" t="n">
        <x:v>0</x:v>
      </x:c>
      <x:c r="N96" s="19" t="n">
        <x:v>971</x:v>
      </x:c>
      <x:c r="O96" s="19" t="n">
        <x:v>1</x:v>
      </x:c>
      <x:c r="P96" s="19" t="n">
        <x:v>969</x:v>
      </x:c>
      <x:c r="Q96" s="19" t="n">
        <x:v>1</x:v>
      </x:c>
      <x:c r="R96" s="21" t="n">
        <x:f>P96/L96</x:f>
        <x:v>0.969</x:v>
      </x:c>
      <x:c r="S96" s="18" t="str">
        <x:v>iteration_limit</x:v>
      </x:c>
      <x:c r="T96" s="22" t="b">
        <x:v>0</x:v>
      </x:c>
      <x:c r="U96" s="19" t="n">
        <x:v>0</x:v>
      </x:c>
      <x:c r="V96" s="19" t="n">
        <x:v>0</x:v>
      </x:c>
      <x:c r="W96" s="19" t="n">
        <x:v>0</x:v>
      </x:c>
      <x:c r="X96" s="22" t="b">
        <x:v>0</x:v>
      </x:c>
      <x:c r="Y96" s="20" t="n">
        <x:v>0</x:v>
      </x:c>
      <x:c r="Z96" s="20" t="n">
        <x:v>0</x:v>
      </x:c>
      <x:c r="AA96" s="20" t="n">
        <x:v>0</x:v>
      </x:c>
      <x:c r="AB96" s="20" t="n">
        <x:v>0.51776</x:v>
      </x:c>
      <x:c r="AC96" s="20" t="n">
        <x:v>3</x:v>
      </x:c>
      <x:c r="AD96" s="20" t="n">
        <x:v>69.382613</x:v>
      </x:c>
      <x:c r="AE96" s="20" t="n">
        <x:v>86.835319</x:v>
      </x:c>
      <x:c r="AF96" s="18" t="str">
        <x:v>{"random_removal": 0.011881058766956802, "related_removal": 0.011529215046068483, "worst_removal": 0.012522656140341384}</x:v>
      </x:c>
      <x:c r="AG96" s="18" t="str">
        <x:v>{"greedy_insertion": 0.012508258443322937, "regret_2_insertion": 0.011529215046068483}</x:v>
      </x:c>
      <x:c r="AH96" s="18" t="str">
        <x:v>[["D0", "C57", "C49", "S15", "C92", "C54", "D0"], ["D0", "C44", "S1", "C26", "S19", "D0"], ["D0", "C45", "C70", "D0"], ["D0", "C53", "C11", "D0"]]</x:v>
      </x:c>
    </x:row>
    <x:row r="97">
      <x:c r="A97" s="18" t="str">
        <x:v>results/week6/main_fixed1000/alns_evrptw_summary.csv</x:v>
      </x:c>
      <x:c r="B97" s="18" t="str">
        <x:v>Full_ALNS_EVRPTW</x:v>
      </x:c>
      <x:c r="C97" s="18" t="str">
        <x:v>ALNS_EVRPTW_FULL_RECHARGE</x:v>
      </x:c>
      <x:c r="D97" s="18" t="str">
        <x:v>rc102C10</x:v>
      </x:c>
      <x:c r="E97" s="19" t="n">
        <x:v>66</x:v>
      </x:c>
      <x:c r="F97" s="18" t="str">
        <x:v>RC</x:v>
      </x:c>
      <x:c r="G97" s="19" t="n">
        <x:v>10</x:v>
      </x:c>
      <x:c r="H97" s="18" t="n">
        <x:v>1</x:v>
      </x:c>
      <x:c r="I97" s="19" t="n">
        <x:v>4</x:v>
      </x:c>
      <x:c r="J97" s="20" t="n">
        <x:v>423.510182</x:v>
      </x:c>
      <x:c r="K97" s="20" t="n">
        <x:v>9.372135</x:v>
      </x:c>
      <x:c r="L97" s="19" t="n">
        <x:v>1000</x:v>
      </x:c>
      <x:c r="M97" s="19" t="n">
        <x:v>0</x:v>
      </x:c>
      <x:c r="N97" s="19" t="n">
        <x:v>971</x:v>
      </x:c>
      <x:c r="O97" s="19" t="n">
        <x:v>1</x:v>
      </x:c>
      <x:c r="P97" s="19" t="n">
        <x:v>969</x:v>
      </x:c>
      <x:c r="Q97" s="19" t="n">
        <x:v>1</x:v>
      </x:c>
      <x:c r="R97" s="21" t="n">
        <x:f>P97/L97</x:f>
        <x:v>0.969</x:v>
      </x:c>
      <x:c r="S97" s="18" t="str">
        <x:v>iteration_limit</x:v>
      </x:c>
      <x:c r="T97" s="22" t="b">
        <x:v>0</x:v>
      </x:c>
      <x:c r="U97" s="19" t="n">
        <x:v>0</x:v>
      </x:c>
      <x:c r="V97" s="19" t="n">
        <x:v>0</x:v>
      </x:c>
      <x:c r="W97" s="19" t="n">
        <x:v>0</x:v>
      </x:c>
      <x:c r="X97" s="22" t="b">
        <x:v>0</x:v>
      </x:c>
      <x:c r="Y97" s="20" t="n">
        <x:v>0</x:v>
      </x:c>
      <x:c r="Z97" s="20" t="n">
        <x:v>0</x:v>
      </x:c>
      <x:c r="AA97" s="20" t="n">
        <x:v>0</x:v>
      </x:c>
      <x:c r="AB97" s="20" t="n">
        <x:v>0.51776</x:v>
      </x:c>
      <x:c r="AC97" s="20" t="n">
        <x:v>3</x:v>
      </x:c>
      <x:c r="AD97" s="20" t="n">
        <x:v>69.382613</x:v>
      </x:c>
      <x:c r="AE97" s="20" t="n">
        <x:v>86.835319</x:v>
      </x:c>
      <x:c r="AF97" s="18" t="str">
        <x:v>{"random_removal": 0.011529215046068483, "related_removal": 0.01220740416642545, "worst_removal": 0.011529215046068483}</x:v>
      </x:c>
      <x:c r="AG97" s="18" t="str">
        <x:v>{"greedy_insertion": 0.011640072883049912, "regret_2_insertion": 0.011889503016258119}</x:v>
      </x:c>
      <x:c r="AH97" s="18" t="str">
        <x:v>[["D0", "C57", "C49", "S15", "C92", "C54", "D0"], ["D0", "C44", "S1", "C26", "S19", "D0"], ["D0", "C45", "C70", "D0"], ["D0", "C53", "C11", "D0"]]</x:v>
      </x:c>
    </x:row>
    <x:row r="98">
      <x:c r="A98" s="18" t="str">
        <x:v>results/week6/main_fixed1000/alns_evrptw_summary.csv</x:v>
      </x:c>
      <x:c r="B98" s="18" t="str">
        <x:v>Full_ALNS_EVRPTW</x:v>
      </x:c>
      <x:c r="C98" s="18" t="str">
        <x:v>ALNS_EVRPTW_FULL_RECHARGE</x:v>
      </x:c>
      <x:c r="D98" s="18" t="str">
        <x:v>rc103C15</x:v>
      </x:c>
      <x:c r="E98" s="19" t="n">
        <x:v>64</x:v>
      </x:c>
      <x:c r="F98" s="18" t="str">
        <x:v>RC</x:v>
      </x:c>
      <x:c r="G98" s="19" t="n">
        <x:v>15</x:v>
      </x:c>
      <x:c r="H98" s="18" t="n">
        <x:v>1</x:v>
      </x:c>
      <x:c r="I98" s="19" t="n">
        <x:v>4</x:v>
      </x:c>
      <x:c r="J98" s="20" t="n">
        <x:v>397.669857</x:v>
      </x:c>
      <x:c r="K98" s="20" t="n">
        <x:v>48.269425</x:v>
      </x:c>
      <x:c r="L98" s="19" t="n">
        <x:v>1000</x:v>
      </x:c>
      <x:c r="M98" s="19" t="n">
        <x:v>9</x:v>
      </x:c>
      <x:c r="N98" s="19" t="n">
        <x:v>917</x:v>
      </x:c>
      <x:c r="O98" s="19" t="n">
        <x:v>17</x:v>
      </x:c>
      <x:c r="P98" s="19" t="n">
        <x:v>890</x:v>
      </x:c>
      <x:c r="Q98" s="19" t="n">
        <x:v>10</x:v>
      </x:c>
      <x:c r="R98" s="21" t="n">
        <x:f>P98/L98</x:f>
        <x:v>0.89</x:v>
      </x:c>
      <x:c r="S98" s="18" t="str">
        <x:v>iteration_limit</x:v>
      </x:c>
      <x:c r="T98" s="22" t="b">
        <x:v>0</x:v>
      </x:c>
      <x:c r="U98" s="19" t="n">
        <x:v>0</x:v>
      </x:c>
      <x:c r="V98" s="19" t="n">
        <x:v>0</x:v>
      </x:c>
      <x:c r="W98" s="19" t="n">
        <x:v>0</x:v>
      </x:c>
      <x:c r="X98" s="22" t="b">
        <x:v>0</x:v>
      </x:c>
      <x:c r="Y98" s="20" t="n">
        <x:v>0</x:v>
      </x:c>
      <x:c r="Z98" s="20" t="n">
        <x:v>0</x:v>
      </x:c>
      <x:c r="AA98" s="20" t="n">
        <x:v>0</x:v>
      </x:c>
      <x:c r="AB98" s="20" t="n">
        <x:v>9.161259</x:v>
      </x:c>
      <x:c r="AC98" s="20" t="n">
        <x:v>4</x:v>
      </x:c>
      <x:c r="AD98" s="20" t="n">
        <x:v>70.648986</x:v>
      </x:c>
      <x:c r="AE98" s="20" t="n">
        <x:v>201.597326</x:v>
      </x:c>
      <x:c r="AF98" s="18" t="str">
        <x:v>{"random_removal": 0.020523140718481974, "related_removal": 0.016061355572469297, "worst_removal": 0.024711510934125845}</x:v>
      </x:c>
      <x:c r="AG98" s="18" t="str">
        <x:v>{"greedy_insertion": 0.02153191514976256, "regret_2_insertion": 0.020097908305746894}</x:v>
      </x:c>
      <x:c r="AH98" s="18" t="str">
        <x:v>[["D0", "C65", "C83", "C87", "S11", "C15", "D0"], ["D0", "S3", "C39", "C72", "C90", "D0"], ["D0", "C84", "S19", "C33", "C34", "C62", "D0"], ["D0", "C100", "C6", "C8", "S7", "C70", "D0"]]</x:v>
      </x:c>
    </x:row>
    <x:row r="99">
      <x:c r="A99" s="18" t="str">
        <x:v>results/week6/main_fixed1000/alns_evrptw_summary.csv</x:v>
      </x:c>
      <x:c r="B99" s="18" t="str">
        <x:v>Full_ALNS_EVRPTW</x:v>
      </x:c>
      <x:c r="C99" s="18" t="str">
        <x:v>ALNS_EVRPTW_FULL_RECHARGE</x:v>
      </x:c>
      <x:c r="D99" s="18" t="str">
        <x:v>rc103C15</x:v>
      </x:c>
      <x:c r="E99" s="19" t="n">
        <x:v>65</x:v>
      </x:c>
      <x:c r="F99" s="18" t="str">
        <x:v>RC</x:v>
      </x:c>
      <x:c r="G99" s="19" t="n">
        <x:v>15</x:v>
      </x:c>
      <x:c r="H99" s="18" t="n">
        <x:v>1</x:v>
      </x:c>
      <x:c r="I99" s="19" t="n">
        <x:v>4</x:v>
      </x:c>
      <x:c r="J99" s="20" t="n">
        <x:v>397.669857</x:v>
      </x:c>
      <x:c r="K99" s="20" t="n">
        <x:v>52.741467</x:v>
      </x:c>
      <x:c r="L99" s="19" t="n">
        <x:v>1000</x:v>
      </x:c>
      <x:c r="M99" s="19" t="n">
        <x:v>7</x:v>
      </x:c>
      <x:c r="N99" s="19" t="n">
        <x:v>930</x:v>
      </x:c>
      <x:c r="O99" s="19" t="n">
        <x:v>10</x:v>
      </x:c>
      <x:c r="P99" s="19" t="n">
        <x:v>915</x:v>
      </x:c>
      <x:c r="Q99" s="19" t="n">
        <x:v>5</x:v>
      </x:c>
      <x:c r="R99" s="21" t="n">
        <x:f>P99/L99</x:f>
        <x:v>0.915</x:v>
      </x:c>
      <x:c r="S99" s="18" t="str">
        <x:v>iteration_limit</x:v>
      </x:c>
      <x:c r="T99" s="22" t="b">
        <x:v>0</x:v>
      </x:c>
      <x:c r="U99" s="19" t="n">
        <x:v>0</x:v>
      </x:c>
      <x:c r="V99" s="19" t="n">
        <x:v>0</x:v>
      </x:c>
      <x:c r="W99" s="19" t="n">
        <x:v>0</x:v>
      </x:c>
      <x:c r="X99" s="22" t="b">
        <x:v>0</x:v>
      </x:c>
      <x:c r="Y99" s="20" t="n">
        <x:v>0</x:v>
      </x:c>
      <x:c r="Z99" s="20" t="n">
        <x:v>0</x:v>
      </x:c>
      <x:c r="AA99" s="20" t="n">
        <x:v>0</x:v>
      </x:c>
      <x:c r="AB99" s="20" t="n">
        <x:v>9.161259</x:v>
      </x:c>
      <x:c r="AC99" s="20" t="n">
        <x:v>4</x:v>
      </x:c>
      <x:c r="AD99" s="20" t="n">
        <x:v>70.648986</x:v>
      </x:c>
      <x:c r="AE99" s="20" t="n">
        <x:v>201.597326</x:v>
      </x:c>
      <x:c r="AF99" s="18" t="str">
        <x:v>{"random_removal": 0.014686875733960748, "related_removal": 0.01394478211893084, "worst_removal": 0.01582788151599266}</x:v>
      </x:c>
      <x:c r="AG99" s="18" t="str">
        <x:v>{"greedy_insertion": 0.014483079452699131, "regret_2_insertion": 0.014890457215889094}</x:v>
      </x:c>
      <x:c r="AH99" s="18" t="str">
        <x:v>[["D0", "C65", "C83", "C87", "S11", "C15", "D0"], ["D0", "C100", "C6", "C8", "S7", "C70", "D0"], ["D0", "S3", "C39", "C72", "C90", "D0"], ["D0", "C84", "S19", "C33", "C34", "C62", "D0"]]</x:v>
      </x:c>
    </x:row>
    <x:row r="100">
      <x:c r="A100" s="18" t="str">
        <x:v>results/week6/main_fixed1000/alns_evrptw_summary.csv</x:v>
      </x:c>
      <x:c r="B100" s="18" t="str">
        <x:v>Full_ALNS_EVRPTW</x:v>
      </x:c>
      <x:c r="C100" s="18" t="str">
        <x:v>ALNS_EVRPTW_FULL_RECHARGE</x:v>
      </x:c>
      <x:c r="D100" s="18" t="str">
        <x:v>rc103C15</x:v>
      </x:c>
      <x:c r="E100" s="19" t="n">
        <x:v>66</x:v>
      </x:c>
      <x:c r="F100" s="18" t="str">
        <x:v>RC</x:v>
      </x:c>
      <x:c r="G100" s="19" t="n">
        <x:v>15</x:v>
      </x:c>
      <x:c r="H100" s="18" t="n">
        <x:v>1</x:v>
      </x:c>
      <x:c r="I100" s="19" t="n">
        <x:v>4</x:v>
      </x:c>
      <x:c r="J100" s="20" t="n">
        <x:v>397.669857</x:v>
      </x:c>
      <x:c r="K100" s="20" t="n">
        <x:v>55.397534</x:v>
      </x:c>
      <x:c r="L100" s="19" t="n">
        <x:v>1000</x:v>
      </x:c>
      <x:c r="M100" s="19" t="n">
        <x:v>1</x:v>
      </x:c>
      <x:c r="N100" s="19" t="n">
        <x:v>919</x:v>
      </x:c>
      <x:c r="O100" s="19" t="n">
        <x:v>20</x:v>
      </x:c>
      <x:c r="P100" s="19" t="n">
        <x:v>881</x:v>
      </x:c>
      <x:c r="Q100" s="19" t="n">
        <x:v>18</x:v>
      </x:c>
      <x:c r="R100" s="21" t="n">
        <x:f>P100/L100</x:f>
        <x:v>0.881</x:v>
      </x:c>
      <x:c r="S100" s="18" t="str">
        <x:v>iteration_limit</x:v>
      </x:c>
      <x:c r="T100" s="22" t="b">
        <x:v>0</x:v>
      </x:c>
      <x:c r="U100" s="19" t="n">
        <x:v>0</x:v>
      </x:c>
      <x:c r="V100" s="19" t="n">
        <x:v>0</x:v>
      </x:c>
      <x:c r="W100" s="19" t="n">
        <x:v>0</x:v>
      </x:c>
      <x:c r="X100" s="22" t="b">
        <x:v>0</x:v>
      </x:c>
      <x:c r="Y100" s="20" t="n">
        <x:v>0</x:v>
      </x:c>
      <x:c r="Z100" s="20" t="n">
        <x:v>0</x:v>
      </x:c>
      <x:c r="AA100" s="20" t="n">
        <x:v>0</x:v>
      </x:c>
      <x:c r="AB100" s="20" t="n">
        <x:v>9.161259</x:v>
      </x:c>
      <x:c r="AC100" s="20" t="n">
        <x:v>4</x:v>
      </x:c>
      <x:c r="AD100" s="20" t="n">
        <x:v>67.687714</x:v>
      </x:c>
      <x:c r="AE100" s="20" t="n">
        <x:v>190.390032</x:v>
      </x:c>
      <x:c r="AF100" s="18" t="str">
        <x:v>{"random_removal": 0.02283431066839891, "related_removal": 0.028202841718574276, "worst_removal": 0.021157169140177946}</x:v>
      </x:c>
      <x:c r="AG100" s="18" t="str">
        <x:v>{"greedy_insertion": 0.026916473532426457, "regret_2_insertion": 0.020041581022248053}</x:v>
      </x:c>
      <x:c r="AH100" s="18" t="str">
        <x:v>[["D0", "C70", "S7", "C8", "C6", "C100", "D0"], ["D0", "S3", "C39", "C72", "C90", "D0"], ["D0", "C84", "S19", "C33", "C34", "C62", "D0"], ["D0", "C65", "C83", "C87", "S11", "C15", "D0"]]</x:v>
      </x:c>
    </x:row>
    <x:row r="101">
      <x:c r="A101" s="18" t="str">
        <x:v>results/week6/main_fixed1000/alns_evrptw_summary.csv</x:v>
      </x:c>
      <x:c r="B101" s="18" t="str">
        <x:v>Full_ALNS_EVRPTW</x:v>
      </x:c>
      <x:c r="C101" s="18" t="str">
        <x:v>ALNS_EVRPTW_FULL_RECHARGE</x:v>
      </x:c>
      <x:c r="D101" s="18" t="str">
        <x:v>rc204C5</x:v>
      </x:c>
      <x:c r="E101" s="19" t="n">
        <x:v>64</x:v>
      </x:c>
      <x:c r="F101" s="18" t="str">
        <x:v>RC</x:v>
      </x:c>
      <x:c r="G101" s="19" t="n">
        <x:v>5</x:v>
      </x:c>
      <x:c r="H101" s="18" t="n">
        <x:v>1</x:v>
      </x:c>
      <x:c r="I101" s="19" t="n">
        <x:v>1</x:v>
      </x:c>
      <x:c r="J101" s="20" t="n">
        <x:v>179.162472</x:v>
      </x:c>
      <x:c r="K101" s="20" t="n">
        <x:v>3.448381</x:v>
      </x:c>
      <x:c r="L101" s="19" t="n">
        <x:v>1000</x:v>
      </x:c>
      <x:c r="M101" s="19" t="n">
        <x:v>3</x:v>
      </x:c>
      <x:c r="N101" s="19" t="n">
        <x:v>1000</x:v>
      </x:c>
      <x:c r="O101" s="19" t="n">
        <x:v>1</x:v>
      </x:c>
      <x:c r="P101" s="19" t="n">
        <x:v>999</x:v>
      </x:c>
      <x:c r="Q101" s="19" t="n">
        <x:v>0</x:v>
      </x:c>
      <x:c r="R101" s="21" t="n">
        <x:f>P101/L101</x:f>
        <x:v>0.999</x:v>
      </x:c>
      <x:c r="S101" s="18" t="str">
        <x:v>iteration_limit</x:v>
      </x:c>
      <x:c r="T101" s="22" t="b">
        <x:v>0</x:v>
      </x:c>
      <x:c r="U101" s="19" t="n">
        <x:v>0</x:v>
      </x:c>
      <x:c r="V101" s="19" t="n">
        <x:v>0</x:v>
      </x:c>
      <x:c r="W101" s="19" t="n">
        <x:v>0</x:v>
      </x:c>
      <x:c r="X101" s="22" t="b">
        <x:v>0</x:v>
      </x:c>
      <x:c r="Y101" s="20" t="n">
        <x:v>0</x:v>
      </x:c>
      <x:c r="Z101" s="20" t="n">
        <x:v>0</x:v>
      </x:c>
      <x:c r="AA101" s="20" t="n">
        <x:v>0</x:v>
      </x:c>
      <x:c r="AB101" s="20" t="n">
        <x:v>7.467526</x:v>
      </x:c>
      <x:c r="AC101" s="20" t="n">
        <x:v>2</x:v>
      </x:c>
      <x:c r="AD101" s="20" t="n">
        <x:v>43.556353</x:v>
      </x:c>
      <x:c r="AE101" s="20" t="n">
        <x:v>653.557856</x:v>
      </x:c>
      <x:c r="AF101" s="18" t="str">
        <x:v>{"random_removal": 0.01232985497982324, "related_removal": 0.011529215046068483, "worst_removal": 0.011529215046068483}</x:v>
      </x:c>
      <x:c r="AG101" s="18" t="str">
        <x:v>{"greedy_insertion": 0.012129694996384555, "regret_2_insertion": 0.011529215046068483}</x:v>
      </x:c>
      <x:c r="AH101" s="18" t="str">
        <x:v>[["D0", "C81", "C4", "S9", "S15", "C23", "C19", "C49", "D0"]]</x:v>
      </x:c>
    </x:row>
    <x:row r="102">
      <x:c r="A102" s="18" t="str">
        <x:v>results/week6/main_fixed1000/alns_evrptw_summary.csv</x:v>
      </x:c>
      <x:c r="B102" s="18" t="str">
        <x:v>Full_ALNS_EVRPTW</x:v>
      </x:c>
      <x:c r="C102" s="18" t="str">
        <x:v>ALNS_EVRPTW_FULL_RECHARGE</x:v>
      </x:c>
      <x:c r="D102" s="18" t="str">
        <x:v>rc204C5</x:v>
      </x:c>
      <x:c r="E102" s="19" t="n">
        <x:v>65</x:v>
      </x:c>
      <x:c r="F102" s="18" t="str">
        <x:v>RC</x:v>
      </x:c>
      <x:c r="G102" s="19" t="n">
        <x:v>5</x:v>
      </x:c>
      <x:c r="H102" s="18" t="n">
        <x:v>1</x:v>
      </x:c>
      <x:c r="I102" s="19" t="n">
        <x:v>1</x:v>
      </x:c>
      <x:c r="J102" s="20" t="n">
        <x:v>179.162472</x:v>
      </x:c>
      <x:c r="K102" s="20" t="n">
        <x:v>3.629286</x:v>
      </x:c>
      <x:c r="L102" s="19" t="n">
        <x:v>1000</x:v>
      </x:c>
      <x:c r="M102" s="19" t="n">
        <x:v>15</x:v>
      </x:c>
      <x:c r="N102" s="19" t="n">
        <x:v>1000</x:v>
      </x:c>
      <x:c r="O102" s="19" t="n">
        <x:v>1</x:v>
      </x:c>
      <x:c r="P102" s="19" t="n">
        <x:v>999</x:v>
      </x:c>
      <x:c r="Q102" s="19" t="n">
        <x:v>0</x:v>
      </x:c>
      <x:c r="R102" s="21" t="n">
        <x:f>P102/L102</x:f>
        <x:v>0.999</x:v>
      </x:c>
      <x:c r="S102" s="18" t="str">
        <x:v>iteration_limit</x:v>
      </x:c>
      <x:c r="T102" s="22" t="b">
        <x:v>0</x:v>
      </x:c>
      <x:c r="U102" s="19" t="n">
        <x:v>0</x:v>
      </x:c>
      <x:c r="V102" s="19" t="n">
        <x:v>0</x:v>
      </x:c>
      <x:c r="W102" s="19" t="n">
        <x:v>0</x:v>
      </x:c>
      <x:c r="X102" s="22" t="b">
        <x:v>0</x:v>
      </x:c>
      <x:c r="Y102" s="20" t="n">
        <x:v>0</x:v>
      </x:c>
      <x:c r="Z102" s="20" t="n">
        <x:v>0</x:v>
      </x:c>
      <x:c r="AA102" s="20" t="n">
        <x:v>0</x:v>
      </x:c>
      <x:c r="AB102" s="20" t="n">
        <x:v>7.467526</x:v>
      </x:c>
      <x:c r="AC102" s="20" t="n">
        <x:v>2</x:v>
      </x:c>
      <x:c r="AD102" s="20" t="n">
        <x:v>43.556353</x:v>
      </x:c>
      <x:c r="AE102" s="20" t="n">
        <x:v>653.557856</x:v>
      </x:c>
      <x:c r="AF102" s="18" t="str">
        <x:v>{"random_removal": 0.011529215046068483, "related_removal": 0.011529215046068483, "worst_removal": 0.012287716035941407}</x:v>
      </x:c>
      <x:c r="AG102" s="18" t="str">
        <x:v>{"greedy_insertion": 0.011529215046068483, "regret_2_insertion": 0.012043912146339394}</x:v>
      </x:c>
      <x:c r="AH102" s="18" t="str">
        <x:v>[["D0", "C81", "C4", "S9", "S15", "C23", "C19", "C49", "D0"]]</x:v>
      </x:c>
    </x:row>
    <x:row r="103">
      <x:c r="A103" s="18" t="str">
        <x:v>results/week6/main_fixed1000/alns_evrptw_summary.csv</x:v>
      </x:c>
      <x:c r="B103" s="18" t="str">
        <x:v>Full_ALNS_EVRPTW</x:v>
      </x:c>
      <x:c r="C103" s="18" t="str">
        <x:v>ALNS_EVRPTW_FULL_RECHARGE</x:v>
      </x:c>
      <x:c r="D103" s="18" t="str">
        <x:v>rc204C5</x:v>
      </x:c>
      <x:c r="E103" s="19" t="n">
        <x:v>66</x:v>
      </x:c>
      <x:c r="F103" s="18" t="str">
        <x:v>RC</x:v>
      </x:c>
      <x:c r="G103" s="19" t="n">
        <x:v>5</x:v>
      </x:c>
      <x:c r="H103" s="18" t="n">
        <x:v>1</x:v>
      </x:c>
      <x:c r="I103" s="19" t="n">
        <x:v>1</x:v>
      </x:c>
      <x:c r="J103" s="20" t="n">
        <x:v>179.162472</x:v>
      </x:c>
      <x:c r="K103" s="20" t="n">
        <x:v>3.565897</x:v>
      </x:c>
      <x:c r="L103" s="19" t="n">
        <x:v>1000</x:v>
      </x:c>
      <x:c r="M103" s="19" t="n">
        <x:v>6</x:v>
      </x:c>
      <x:c r="N103" s="19" t="n">
        <x:v>1000</x:v>
      </x:c>
      <x:c r="O103" s="19" t="n">
        <x:v>1</x:v>
      </x:c>
      <x:c r="P103" s="19" t="n">
        <x:v>999</x:v>
      </x:c>
      <x:c r="Q103" s="19" t="n">
        <x:v>0</x:v>
      </x:c>
      <x:c r="R103" s="21" t="n">
        <x:f>P103/L103</x:f>
        <x:v>0.999</x:v>
      </x:c>
      <x:c r="S103" s="18" t="str">
        <x:v>iteration_limit</x:v>
      </x:c>
      <x:c r="T103" s="22" t="b">
        <x:v>0</x:v>
      </x:c>
      <x:c r="U103" s="19" t="n">
        <x:v>0</x:v>
      </x:c>
      <x:c r="V103" s="19" t="n">
        <x:v>0</x:v>
      </x:c>
      <x:c r="W103" s="19" t="n">
        <x:v>0</x:v>
      </x:c>
      <x:c r="X103" s="22" t="b">
        <x:v>0</x:v>
      </x:c>
      <x:c r="Y103" s="20" t="n">
        <x:v>0</x:v>
      </x:c>
      <x:c r="Z103" s="20" t="n">
        <x:v>0</x:v>
      </x:c>
      <x:c r="AA103" s="20" t="n">
        <x:v>0</x:v>
      </x:c>
      <x:c r="AB103" s="20" t="n">
        <x:v>7.467526</x:v>
      </x:c>
      <x:c r="AC103" s="20" t="n">
        <x:v>2</x:v>
      </x:c>
      <x:c r="AD103" s="20" t="n">
        <x:v>43.556353</x:v>
      </x:c>
      <x:c r="AE103" s="20" t="n">
        <x:v>653.557856</x:v>
      </x:c>
      <x:c r="AF103" s="18" t="str">
        <x:v>{"random_removal": 0.011529215046068483, "related_removal": 0.011529215046068483, "worst_removal": 0.012558609246610312}</x:v>
      </x:c>
      <x:c r="AG103" s="18" t="str">
        <x:v>{"greedy_insertion": 0.011529215046068483, "regret_2_insertion": 0.012009599006321335}</x:v>
      </x:c>
      <x:c r="AH103" s="18" t="str">
        <x:v>[["D0", "C81", "C4", "S9", "S15", "C23", "C19", "C49", "D0"]]</x:v>
      </x:c>
    </x:row>
    <x:row r="104">
      <x:c r="A104" s="18" t="str">
        <x:v>results/week6/main_fixed1000/alns_evrptw_summary.csv</x:v>
      </x:c>
      <x:c r="B104" s="18" t="str">
        <x:v>Full_ALNS_EVRPTW</x:v>
      </x:c>
      <x:c r="C104" s="18" t="str">
        <x:v>ALNS_EVRPTW_FULL_RECHARGE</x:v>
      </x:c>
      <x:c r="D104" s="18" t="str">
        <x:v>rc201C10</x:v>
      </x:c>
      <x:c r="E104" s="19" t="n">
        <x:v>64</x:v>
      </x:c>
      <x:c r="F104" s="18" t="str">
        <x:v>RC</x:v>
      </x:c>
      <x:c r="G104" s="19" t="n">
        <x:v>10</x:v>
      </x:c>
      <x:c r="H104" s="18" t="n">
        <x:v>1</x:v>
      </x:c>
      <x:c r="I104" s="19" t="n">
        <x:v>1</x:v>
      </x:c>
      <x:c r="J104" s="20" t="n">
        <x:v>412.861395</x:v>
      </x:c>
      <x:c r="K104" s="20" t="n">
        <x:v>24.297968</x:v>
      </x:c>
      <x:c r="L104" s="19" t="n">
        <x:v>1000</x:v>
      </x:c>
      <x:c r="M104" s="19" t="n">
        <x:v>0</x:v>
      </x:c>
      <x:c r="N104" s="19" t="n">
        <x:v>992</x:v>
      </x:c>
      <x:c r="O104" s="19" t="n">
        <x:v>0</x:v>
      </x:c>
      <x:c r="P104" s="19" t="n">
        <x:v>992</x:v>
      </x:c>
      <x:c r="Q104" s="19" t="n">
        <x:v>0</x:v>
      </x:c>
      <x:c r="R104" s="21" t="n">
        <x:f>P104/L104</x:f>
        <x:v>0.992</x:v>
      </x:c>
      <x:c r="S104" s="18" t="str">
        <x:v>iteration_limit</x:v>
      </x:c>
      <x:c r="T104" s="22" t="b">
        <x:v>0</x:v>
      </x:c>
      <x:c r="U104" s="19" t="n">
        <x:v>0</x:v>
      </x:c>
      <x:c r="V104" s="19" t="n">
        <x:v>0</x:v>
      </x:c>
      <x:c r="W104" s="19" t="n">
        <x:v>0</x:v>
      </x:c>
      <x:c r="X104" s="22" t="b">
        <x:v>0</x:v>
      </x:c>
      <x:c r="Y104" s="20" t="n">
        <x:v>0</x:v>
      </x:c>
      <x:c r="Z104" s="20" t="n">
        <x:v>0</x:v>
      </x:c>
      <x:c r="AA104" s="20" t="n">
        <x:v>0</x:v>
      </x:c>
      <x:c r="AB104" s="20" t="n">
        <x:v>0.919251</x:v>
      </x:c>
      <x:c r="AC104" s="20" t="n">
        <x:v>6</x:v>
      </x:c>
      <x:c r="AD104" s="20" t="n">
        <x:v>134.878643</x:v>
      </x:c>
      <x:c r="AE104" s="20" t="n">
        <x:v>158.301557</x:v>
      </x:c>
      <x:c r="AF104" s="18" t="str">
        <x:v>{"random_removal": 0.011529215046068483, "related_removal": 0.011529215046068483, "worst_removal": 0.011529215046068483}</x:v>
      </x:c>
      <x:c r="AG104" s="18" t="str">
        <x:v>{"greedy_insertion": 0.011529215046068483, "regret_2_insertion": 0.011529215046068483}</x:v>
      </x:c>
      <x:c r="AH104" s="18" t="str">
        <x:v>[["D0", "S9", "C79", "C43", "S3", "C62", "S0", "C98", "C14", "S0", "C93", "C54", "S0", "C88", "S15", "C22", "C81", "D0"]]</x:v>
      </x:c>
    </x:row>
    <x:row r="105">
      <x:c r="A105" s="18" t="str">
        <x:v>results/week6/main_fixed1000/alns_evrptw_summary.csv</x:v>
      </x:c>
      <x:c r="B105" s="18" t="str">
        <x:v>Full_ALNS_EVRPTW</x:v>
      </x:c>
      <x:c r="C105" s="18" t="str">
        <x:v>ALNS_EVRPTW_FULL_RECHARGE</x:v>
      </x:c>
      <x:c r="D105" s="18" t="str">
        <x:v>rc201C10</x:v>
      </x:c>
      <x:c r="E105" s="19" t="n">
        <x:v>65</x:v>
      </x:c>
      <x:c r="F105" s="18" t="str">
        <x:v>RC</x:v>
      </x:c>
      <x:c r="G105" s="19" t="n">
        <x:v>10</x:v>
      </x:c>
      <x:c r="H105" s="18" t="n">
        <x:v>1</x:v>
      </x:c>
      <x:c r="I105" s="19" t="n">
        <x:v>1</x:v>
      </x:c>
      <x:c r="J105" s="20" t="n">
        <x:v>412.861395</x:v>
      </x:c>
      <x:c r="K105" s="20" t="n">
        <x:v>25.454874</x:v>
      </x:c>
      <x:c r="L105" s="19" t="n">
        <x:v>1000</x:v>
      </x:c>
      <x:c r="M105" s="19" t="n">
        <x:v>0</x:v>
      </x:c>
      <x:c r="N105" s="19" t="n">
        <x:v>991</x:v>
      </x:c>
      <x:c r="O105" s="19" t="n">
        <x:v>0</x:v>
      </x:c>
      <x:c r="P105" s="19" t="n">
        <x:v>991</x:v>
      </x:c>
      <x:c r="Q105" s="19" t="n">
        <x:v>0</x:v>
      </x:c>
      <x:c r="R105" s="21" t="n">
        <x:f>P105/L105</x:f>
        <x:v>0.991</x:v>
      </x:c>
      <x:c r="S105" s="18" t="str">
        <x:v>iteration_limit</x:v>
      </x:c>
      <x:c r="T105" s="22" t="b">
        <x:v>0</x:v>
      </x:c>
      <x:c r="U105" s="19" t="n">
        <x:v>0</x:v>
      </x:c>
      <x:c r="V105" s="19" t="n">
        <x:v>0</x:v>
      </x:c>
      <x:c r="W105" s="19" t="n">
        <x:v>0</x:v>
      </x:c>
      <x:c r="X105" s="22" t="b">
        <x:v>0</x:v>
      </x:c>
      <x:c r="Y105" s="20" t="n">
        <x:v>0</x:v>
      </x:c>
      <x:c r="Z105" s="20" t="n">
        <x:v>0</x:v>
      </x:c>
      <x:c r="AA105" s="20" t="n">
        <x:v>0</x:v>
      </x:c>
      <x:c r="AB105" s="20" t="n">
        <x:v>0.919251</x:v>
      </x:c>
      <x:c r="AC105" s="20" t="n">
        <x:v>6</x:v>
      </x:c>
      <x:c r="AD105" s="20" t="n">
        <x:v>134.878643</x:v>
      </x:c>
      <x:c r="AE105" s="20" t="n">
        <x:v>158.301557</x:v>
      </x:c>
      <x:c r="AF105" s="18" t="str">
        <x:v>{"random_removal": 0.011529215046068483, "related_removal": 0.011529215046068483, "worst_removal": 0.011529215046068483}</x:v>
      </x:c>
      <x:c r="AG105" s="18" t="str">
        <x:v>{"greedy_insertion": 0.011529215046068483, "regret_2_insertion": 0.011529215046068483}</x:v>
      </x:c>
      <x:c r="AH105" s="18" t="str">
        <x:v>[["D0", "S9", "C79", "C43", "S3", "C62", "S0", "C98", "C14", "S0", "C93", "C54", "S0", "C88", "S15", "C22", "C81", "D0"]]</x:v>
      </x:c>
    </x:row>
    <x:row r="106">
      <x:c r="A106" s="18" t="str">
        <x:v>results/week6/main_fixed1000/alns_evrptw_summary.csv</x:v>
      </x:c>
      <x:c r="B106" s="18" t="str">
        <x:v>Full_ALNS_EVRPTW</x:v>
      </x:c>
      <x:c r="C106" s="18" t="str">
        <x:v>ALNS_EVRPTW_FULL_RECHARGE</x:v>
      </x:c>
      <x:c r="D106" s="18" t="str">
        <x:v>rc201C10</x:v>
      </x:c>
      <x:c r="E106" s="19" t="n">
        <x:v>66</x:v>
      </x:c>
      <x:c r="F106" s="18" t="str">
        <x:v>RC</x:v>
      </x:c>
      <x:c r="G106" s="19" t="n">
        <x:v>10</x:v>
      </x:c>
      <x:c r="H106" s="18" t="n">
        <x:v>1</x:v>
      </x:c>
      <x:c r="I106" s="19" t="n">
        <x:v>1</x:v>
      </x:c>
      <x:c r="J106" s="20" t="n">
        <x:v>412.861395</x:v>
      </x:c>
      <x:c r="K106" s="20" t="n">
        <x:v>24.453904</x:v>
      </x:c>
      <x:c r="L106" s="19" t="n">
        <x:v>1000</x:v>
      </x:c>
      <x:c r="M106" s="19" t="n">
        <x:v>0</x:v>
      </x:c>
      <x:c r="N106" s="19" t="n">
        <x:v>994</x:v>
      </x:c>
      <x:c r="O106" s="19" t="n">
        <x:v>0</x:v>
      </x:c>
      <x:c r="P106" s="19" t="n">
        <x:v>994</x:v>
      </x:c>
      <x:c r="Q106" s="19" t="n">
        <x:v>0</x:v>
      </x:c>
      <x:c r="R106" s="21" t="n">
        <x:f>P106/L106</x:f>
        <x:v>0.994</x:v>
      </x:c>
      <x:c r="S106" s="18" t="str">
        <x:v>iteration_limit</x:v>
      </x:c>
      <x:c r="T106" s="22" t="b">
        <x:v>0</x:v>
      </x:c>
      <x:c r="U106" s="19" t="n">
        <x:v>0</x:v>
      </x:c>
      <x:c r="V106" s="19" t="n">
        <x:v>0</x:v>
      </x:c>
      <x:c r="W106" s="19" t="n">
        <x:v>0</x:v>
      </x:c>
      <x:c r="X106" s="22" t="b">
        <x:v>0</x:v>
      </x:c>
      <x:c r="Y106" s="20" t="n">
        <x:v>0</x:v>
      </x:c>
      <x:c r="Z106" s="20" t="n">
        <x:v>0</x:v>
      </x:c>
      <x:c r="AA106" s="20" t="n">
        <x:v>0</x:v>
      </x:c>
      <x:c r="AB106" s="20" t="n">
        <x:v>0.919251</x:v>
      </x:c>
      <x:c r="AC106" s="20" t="n">
        <x:v>6</x:v>
      </x:c>
      <x:c r="AD106" s="20" t="n">
        <x:v>134.878643</x:v>
      </x:c>
      <x:c r="AE106" s="20" t="n">
        <x:v>158.301557</x:v>
      </x:c>
      <x:c r="AF106" s="18" t="str">
        <x:v>{"random_removal": 0.011529215046068483, "related_removal": 0.011529215046068483, "worst_removal": 0.011529215046068483}</x:v>
      </x:c>
      <x:c r="AG106" s="18" t="str">
        <x:v>{"greedy_insertion": 0.011529215046068483, "regret_2_insertion": 0.011529215046068483}</x:v>
      </x:c>
      <x:c r="AH106" s="18" t="str">
        <x:v>[["D0", "S9", "C79", "C43", "S3", "C62", "S0", "C98", "C14", "S0", "C93", "C54", "S0", "C88", "S15", "C22", "C81", "D0"]]</x:v>
      </x:c>
    </x:row>
    <x:row r="107">
      <x:c r="A107" s="18" t="str">
        <x:v>results/week6/main_fixed1000/alns_evrptw_summary.csv</x:v>
      </x:c>
      <x:c r="B107" s="18" t="str">
        <x:v>Full_ALNS_EVRPTW</x:v>
      </x:c>
      <x:c r="C107" s="18" t="str">
        <x:v>ALNS_EVRPTW_FULL_RECHARGE</x:v>
      </x:c>
      <x:c r="D107" s="18" t="str">
        <x:v>rc202C15</x:v>
      </x:c>
      <x:c r="E107" s="19" t="n">
        <x:v>64</x:v>
      </x:c>
      <x:c r="F107" s="18" t="str">
        <x:v>RC</x:v>
      </x:c>
      <x:c r="G107" s="19" t="n">
        <x:v>15</x:v>
      </x:c>
      <x:c r="H107" s="18" t="n">
        <x:v>1</x:v>
      </x:c>
      <x:c r="I107" s="19" t="n">
        <x:v>2</x:v>
      </x:c>
      <x:c r="J107" s="20" t="n">
        <x:v>394.387139</x:v>
      </x:c>
      <x:c r="K107" s="20" t="n">
        <x:v>145.443556</x:v>
      </x:c>
      <x:c r="L107" s="19" t="n">
        <x:v>1000</x:v>
      </x:c>
      <x:c r="M107" s="19" t="n">
        <x:v>134</x:v>
      </x:c>
      <x:c r="N107" s="19" t="n">
        <x:v>855</x:v>
      </x:c>
      <x:c r="O107" s="19" t="n">
        <x:v>9</x:v>
      </x:c>
      <x:c r="P107" s="19" t="n">
        <x:v>844</x:v>
      </x:c>
      <x:c r="Q107" s="19" t="n">
        <x:v>2</x:v>
      </x:c>
      <x:c r="R107" s="21" t="n">
        <x:f>P107/L107</x:f>
        <x:v>0.844</x:v>
      </x:c>
      <x:c r="S107" s="18" t="str">
        <x:v>iteration_limit</x:v>
      </x:c>
      <x:c r="T107" s="22" t="b">
        <x:v>0</x:v>
      </x:c>
      <x:c r="U107" s="19" t="n">
        <x:v>0</x:v>
      </x:c>
      <x:c r="V107" s="19" t="n">
        <x:v>0</x:v>
      </x:c>
      <x:c r="W107" s="19" t="n">
        <x:v>0</x:v>
      </x:c>
      <x:c r="X107" s="22" t="b">
        <x:v>0</x:v>
      </x:c>
      <x:c r="Y107" s="20" t="n">
        <x:v>0</x:v>
      </x:c>
      <x:c r="Z107" s="20" t="n">
        <x:v>0</x:v>
      </x:c>
      <x:c r="AA107" s="20" t="n">
        <x:v>0</x:v>
      </x:c>
      <x:c r="AB107" s="20" t="n">
        <x:v>5.2188</x:v>
      </x:c>
      <x:c r="AC107" s="20" t="n">
        <x:v>6</x:v>
      </x:c>
      <x:c r="AD107" s="20" t="n">
        <x:v>109.775784</x:v>
      </x:c>
      <x:c r="AE107" s="20" t="n">
        <x:v>978.697585</x:v>
      </x:c>
      <x:c r="AF107" s="18" t="str">
        <x:v>{"random_removal": 0.014605292107342197, "related_removal": 0.014471566802617207, "worst_removal": 0.014072424247407121}</x:v>
      </x:c>
      <x:c r="AG107" s="18" t="str">
        <x:v>{"greedy_insertion": 0.015357589666370287, "regret_2_insertion": 0.013279185186989593}</x:v>
      </x:c>
      <x:c r="AH107" s="18" t="str">
        <x:v>[["D0", "C90", "C57", "S13", "C11", "C47", "S13", "C52", "C95", "C64", "S16", "C18", "S16", "C50", "D0"], ["D0", "C43", "S3", "C37", "C72", "C1", "S7", "C45", "C46", "D0"]]</x:v>
      </x:c>
    </x:row>
    <x:row r="108">
      <x:c r="A108" s="18" t="str">
        <x:v>results/week6/main_fixed1000/alns_evrptw_summary.csv</x:v>
      </x:c>
      <x:c r="B108" s="18" t="str">
        <x:v>Full_ALNS_EVRPTW</x:v>
      </x:c>
      <x:c r="C108" s="18" t="str">
        <x:v>ALNS_EVRPTW_FULL_RECHARGE</x:v>
      </x:c>
      <x:c r="D108" s="18" t="str">
        <x:v>rc202C15</x:v>
      </x:c>
      <x:c r="E108" s="19" t="n">
        <x:v>65</x:v>
      </x:c>
      <x:c r="F108" s="18" t="str">
        <x:v>RC</x:v>
      </x:c>
      <x:c r="G108" s="19" t="n">
        <x:v>15</x:v>
      </x:c>
      <x:c r="H108" s="18" t="n">
        <x:v>1</x:v>
      </x:c>
      <x:c r="I108" s="19" t="n">
        <x:v>2</x:v>
      </x:c>
      <x:c r="J108" s="20" t="n">
        <x:v>394.387139</x:v>
      </x:c>
      <x:c r="K108" s="20" t="n">
        <x:v>143.618389</x:v>
      </x:c>
      <x:c r="L108" s="19" t="n">
        <x:v>1000</x:v>
      </x:c>
      <x:c r="M108" s="19" t="n">
        <x:v>66</x:v>
      </x:c>
      <x:c r="N108" s="19" t="n">
        <x:v>818</x:v>
      </x:c>
      <x:c r="O108" s="19" t="n">
        <x:v>9</x:v>
      </x:c>
      <x:c r="P108" s="19" t="n">
        <x:v>806</x:v>
      </x:c>
      <x:c r="Q108" s="19" t="n">
        <x:v>3</x:v>
      </x:c>
      <x:c r="R108" s="21" t="n">
        <x:f>P108/L108</x:f>
        <x:v>0.806</x:v>
      </x:c>
      <x:c r="S108" s="18" t="str">
        <x:v>iteration_limit</x:v>
      </x:c>
      <x:c r="T108" s="22" t="b">
        <x:v>0</x:v>
      </x:c>
      <x:c r="U108" s="19" t="n">
        <x:v>0</x:v>
      </x:c>
      <x:c r="V108" s="19" t="n">
        <x:v>0</x:v>
      </x:c>
      <x:c r="W108" s="19" t="n">
        <x:v>0</x:v>
      </x:c>
      <x:c r="X108" s="22" t="b">
        <x:v>0</x:v>
      </x:c>
      <x:c r="Y108" s="20" t="n">
        <x:v>0</x:v>
      </x:c>
      <x:c r="Z108" s="20" t="n">
        <x:v>0</x:v>
      </x:c>
      <x:c r="AA108" s="20" t="n">
        <x:v>0</x:v>
      </x:c>
      <x:c r="AB108" s="20" t="n">
        <x:v>5.2188</x:v>
      </x:c>
      <x:c r="AC108" s="20" t="n">
        <x:v>6</x:v>
      </x:c>
      <x:c r="AD108" s="20" t="n">
        <x:v>109.775784</x:v>
      </x:c>
      <x:c r="AE108" s="20" t="n">
        <x:v>978.697585</x:v>
      </x:c>
      <x:c r="AF108" s="18" t="str">
        <x:v>{"random_removal": 0.014189386374837104, "related_removal": 0.012970366926827043, "worst_removal": 0.014917511471601936}</x:v>
      </x:c>
      <x:c r="AG108" s="18" t="str">
        <x:v>{"greedy_insertion": 0.015208346170227241, "regret_2_insertion": 0.013408978368797043}</x:v>
      </x:c>
      <x:c r="AH108" s="18" t="str">
        <x:v>[["D0", "C90", "C57", "S13", "C47", "C11", "S13", "C52", "C95", "C64", "S16", "C18", "S16", "C50", "D0"], ["D0", "C43", "S3", "C37", "C72", "C1", "S7", "C45", "C46", "D0"]]</x:v>
      </x:c>
    </x:row>
    <x:row r="109">
      <x:c r="A109" s="18" t="str">
        <x:v>results/week6/main_fixed1000/alns_evrptw_summary.csv</x:v>
      </x:c>
      <x:c r="B109" s="18" t="str">
        <x:v>Full_ALNS_EVRPTW</x:v>
      </x:c>
      <x:c r="C109" s="18" t="str">
        <x:v>ALNS_EVRPTW_FULL_RECHARGE</x:v>
      </x:c>
      <x:c r="D109" s="18" t="str">
        <x:v>rc202C15</x:v>
      </x:c>
      <x:c r="E109" s="19" t="n">
        <x:v>66</x:v>
      </x:c>
      <x:c r="F109" s="18" t="str">
        <x:v>RC</x:v>
      </x:c>
      <x:c r="G109" s="19" t="n">
        <x:v>15</x:v>
      </x:c>
      <x:c r="H109" s="18" t="n">
        <x:v>1</x:v>
      </x:c>
      <x:c r="I109" s="19" t="n">
        <x:v>2</x:v>
      </x:c>
      <x:c r="J109" s="20" t="n">
        <x:v>394.387139</x:v>
      </x:c>
      <x:c r="K109" s="20" t="n">
        <x:v>135.728162</x:v>
      </x:c>
      <x:c r="L109" s="19" t="n">
        <x:v>1000</x:v>
      </x:c>
      <x:c r="M109" s="19" t="n">
        <x:v>124</x:v>
      </x:c>
      <x:c r="N109" s="19" t="n">
        <x:v>843</x:v>
      </x:c>
      <x:c r="O109" s="19" t="n">
        <x:v>4</x:v>
      </x:c>
      <x:c r="P109" s="19" t="n">
        <x:v>838</x:v>
      </x:c>
      <x:c r="Q109" s="19" t="n">
        <x:v>1</x:v>
      </x:c>
      <x:c r="R109" s="21" t="n">
        <x:f>P109/L109</x:f>
        <x:v>0.838</x:v>
      </x:c>
      <x:c r="S109" s="18" t="str">
        <x:v>iteration_limit</x:v>
      </x:c>
      <x:c r="T109" s="22" t="b">
        <x:v>0</x:v>
      </x:c>
      <x:c r="U109" s="19" t="n">
        <x:v>0</x:v>
      </x:c>
      <x:c r="V109" s="19" t="n">
        <x:v>0</x:v>
      </x:c>
      <x:c r="W109" s="19" t="n">
        <x:v>0</x:v>
      </x:c>
      <x:c r="X109" s="22" t="b">
        <x:v>0</x:v>
      </x:c>
      <x:c r="Y109" s="20" t="n">
        <x:v>0</x:v>
      </x:c>
      <x:c r="Z109" s="20" t="n">
        <x:v>0</x:v>
      </x:c>
      <x:c r="AA109" s="20" t="n">
        <x:v>0</x:v>
      </x:c>
      <x:c r="AB109" s="20" t="n">
        <x:v>5.2188</x:v>
      </x:c>
      <x:c r="AC109" s="20" t="n">
        <x:v>6</x:v>
      </x:c>
      <x:c r="AD109" s="20" t="n">
        <x:v>109.775784</x:v>
      </x:c>
      <x:c r="AE109" s="20" t="n">
        <x:v>978.697585</x:v>
      </x:c>
      <x:c r="AF109" s="18" t="str">
        <x:v>{"random_removal": 0.01508858170808691, "related_removal": 0.011529215046068483, "worst_removal": 0.013405483936979146}</x:v>
      </x:c>
      <x:c r="AG109" s="18" t="str">
        <x:v>{"greedy_insertion": 0.014831854772806845, "regret_2_insertion": 0.011640072883049912}</x:v>
      </x:c>
      <x:c r="AH109" s="18" t="str">
        <x:v>[["D0", "C90", "C57", "S13", "C47", "C11", "S13", "C52", "C95", "C64", "S16", "C18", "S16", "C50", "D0"], ["D0", "C43", "S3", "C37", "C72", "C1", "S7", "C45", "C46", "D0"]]</x:v>
      </x:c>
    </x:row>
    <x:row r="110">
      <x:c r="A110" s="18" t="str">
        <x:v>results/week6/ablation_no_adaptive/alns_evrptw_summary.csv</x:v>
      </x:c>
      <x:c r="B110" s="18" t="str">
        <x:v>No_Adaptive</x:v>
      </x:c>
      <x:c r="C110" s="18" t="str">
        <x:v>ALNS_EVRPTW_FULL_RECHARGE</x:v>
      </x:c>
      <x:c r="D110" s="18" t="str">
        <x:v>c101C5</x:v>
      </x:c>
      <x:c r="E110" s="19" t="n">
        <x:v>64</x:v>
      </x:c>
      <x:c r="F110" s="18" t="str">
        <x:v>C</x:v>
      </x:c>
      <x:c r="G110" s="19" t="n">
        <x:v>5</x:v>
      </x:c>
      <x:c r="H110" s="18" t="n">
        <x:v>1</x:v>
      </x:c>
      <x:c r="I110" s="19" t="n">
        <x:v>3</x:v>
      </x:c>
      <x:c r="J110" s="20" t="n">
        <x:v>247.149706</x:v>
      </x:c>
      <x:c r="K110" s="20" t="n">
        <x:v>1.309011</x:v>
      </x:c>
      <x:c r="L110" s="19" t="n">
        <x:v>1000</x:v>
      </x:c>
      <x:c r="M110" s="19" t="n">
        <x:v>4</x:v>
      </x:c>
      <x:c r="N110" s="19" t="n">
        <x:v>1000</x:v>
      </x:c>
      <x:c r="O110" s="19" t="n">
        <x:v>1</x:v>
      </x:c>
      <x:c r="P110" s="19" t="n">
        <x:v>999</x:v>
      </x:c>
      <x:c r="Q110" s="19" t="n">
        <x:v>0</x:v>
      </x:c>
      <x:c r="R110" s="21" t="n">
        <x:f>P110/L110</x:f>
        <x:v>0.999</x:v>
      </x:c>
      <x:c r="S110" s="18" t="str">
        <x:v>iteration_limit</x:v>
      </x:c>
      <x:c r="T110" s="22" t="b">
        <x:v>0</x:v>
      </x:c>
      <x:c r="U110" s="19" t="n">
        <x:v>0</x:v>
      </x:c>
      <x:c r="V110" s="19" t="n">
        <x:v>0</x:v>
      </x:c>
      <x:c r="W110" s="19" t="n">
        <x:v>0</x:v>
      </x:c>
      <x:c r="X110" s="22" t="b">
        <x:v>0</x:v>
      </x:c>
      <x:c r="Y110" s="20" t="n">
        <x:v>0</x:v>
      </x:c>
      <x:c r="Z110" s="20" t="n">
        <x:v>0</x:v>
      </x:c>
      <x:c r="AA110" s="20" t="n">
        <x:v>0</x:v>
      </x:c>
      <x:c r="AB110" s="20" t="n">
        <x:v>2.113492</x:v>
      </x:c>
      <x:c r="AC110" s="20" t="n">
        <x:v>2</x:v>
      </x:c>
      <x:c r="AD110" s="20" t="n">
        <x:v>236.59311</x:v>
      </x:c>
      <x:c r="AE110" s="20" t="n">
        <x:v>1260.683715</x:v>
      </x:c>
      <x:c r="AF110" s="18" t="str">
        <x:v>{"random_removal": 1.0, "related_removal": 1.0, "worst_removal": 1.0}</x:v>
      </x:c>
      <x:c r="AG110" s="18" t="str">
        <x:v>{"greedy_insertion": 1.0, "regret_2_insertion": 1.0}</x:v>
      </x:c>
      <x:c r="AH110" s="18" t="str">
        <x:v>[["D0", "C12", "S5", "C100", "D0"], ["D0", "S15", "C64", "C85", "D0"], ["D0", "C30", "D0"]]</x:v>
      </x:c>
    </x:row>
    <x:row r="111">
      <x:c r="A111" s="18" t="str">
        <x:v>results/week6/ablation_no_adaptive/alns_evrptw_summary.csv</x:v>
      </x:c>
      <x:c r="B111" s="18" t="str">
        <x:v>No_Adaptive</x:v>
      </x:c>
      <x:c r="C111" s="18" t="str">
        <x:v>ALNS_EVRPTW_FULL_RECHARGE</x:v>
      </x:c>
      <x:c r="D111" s="18" t="str">
        <x:v>c101C5</x:v>
      </x:c>
      <x:c r="E111" s="19" t="n">
        <x:v>65</x:v>
      </x:c>
      <x:c r="F111" s="18" t="str">
        <x:v>C</x:v>
      </x:c>
      <x:c r="G111" s="19" t="n">
        <x:v>5</x:v>
      </x:c>
      <x:c r="H111" s="18" t="n">
        <x:v>1</x:v>
      </x:c>
      <x:c r="I111" s="19" t="n">
        <x:v>3</x:v>
      </x:c>
      <x:c r="J111" s="20" t="n">
        <x:v>247.149706</x:v>
      </x:c>
      <x:c r="K111" s="20" t="n">
        <x:v>1.12865</x:v>
      </x:c>
      <x:c r="L111" s="19" t="n">
        <x:v>1000</x:v>
      </x:c>
      <x:c r="M111" s="19" t="n">
        <x:v>2</x:v>
      </x:c>
      <x:c r="N111" s="19" t="n">
        <x:v>1000</x:v>
      </x:c>
      <x:c r="O111" s="19" t="n">
        <x:v>1</x:v>
      </x:c>
      <x:c r="P111" s="19" t="n">
        <x:v>999</x:v>
      </x:c>
      <x:c r="Q111" s="19" t="n">
        <x:v>0</x:v>
      </x:c>
      <x:c r="R111" s="21" t="n">
        <x:f>P111/L111</x:f>
        <x:v>0.999</x:v>
      </x:c>
      <x:c r="S111" s="18" t="str">
        <x:v>iteration_limit</x:v>
      </x:c>
      <x:c r="T111" s="22" t="b">
        <x:v>0</x:v>
      </x:c>
      <x:c r="U111" s="19" t="n">
        <x:v>0</x:v>
      </x:c>
      <x:c r="V111" s="19" t="n">
        <x:v>0</x:v>
      </x:c>
      <x:c r="W111" s="19" t="n">
        <x:v>0</x:v>
      </x:c>
      <x:c r="X111" s="22" t="b">
        <x:v>0</x:v>
      </x:c>
      <x:c r="Y111" s="20" t="n">
        <x:v>0</x:v>
      </x:c>
      <x:c r="Z111" s="20" t="n">
        <x:v>0</x:v>
      </x:c>
      <x:c r="AA111" s="20" t="n">
        <x:v>0</x:v>
      </x:c>
      <x:c r="AB111" s="20" t="n">
        <x:v>2.113492</x:v>
      </x:c>
      <x:c r="AC111" s="20" t="n">
        <x:v>2</x:v>
      </x:c>
      <x:c r="AD111" s="20" t="n">
        <x:v>236.59311</x:v>
      </x:c>
      <x:c r="AE111" s="20" t="n">
        <x:v>1260.683715</x:v>
      </x:c>
      <x:c r="AF111" s="18" t="str">
        <x:v>{"random_removal": 1.0, "related_removal": 1.0, "worst_removal": 1.0}</x:v>
      </x:c>
      <x:c r="AG111" s="18" t="str">
        <x:v>{"greedy_insertion": 1.0, "regret_2_insertion": 1.0}</x:v>
      </x:c>
      <x:c r="AH111" s="18" t="str">
        <x:v>[["D0", "C12", "S5", "C100", "D0"], ["D0", "S15", "C64", "C85", "D0"], ["D0", "C30", "D0"]]</x:v>
      </x:c>
    </x:row>
    <x:row r="112">
      <x:c r="A112" s="18" t="str">
        <x:v>results/week6/ablation_no_adaptive/alns_evrptw_summary.csv</x:v>
      </x:c>
      <x:c r="B112" s="18" t="str">
        <x:v>No_Adaptive</x:v>
      </x:c>
      <x:c r="C112" s="18" t="str">
        <x:v>ALNS_EVRPTW_FULL_RECHARGE</x:v>
      </x:c>
      <x:c r="D112" s="18" t="str">
        <x:v>c101C5</x:v>
      </x:c>
      <x:c r="E112" s="19" t="n">
        <x:v>66</x:v>
      </x:c>
      <x:c r="F112" s="18" t="str">
        <x:v>C</x:v>
      </x:c>
      <x:c r="G112" s="19" t="n">
        <x:v>5</x:v>
      </x:c>
      <x:c r="H112" s="18" t="n">
        <x:v>1</x:v>
      </x:c>
      <x:c r="I112" s="19" t="n">
        <x:v>3</x:v>
      </x:c>
      <x:c r="J112" s="20" t="n">
        <x:v>247.149706</x:v>
      </x:c>
      <x:c r="K112" s="20" t="n">
        <x:v>1.415441</x:v>
      </x:c>
      <x:c r="L112" s="19" t="n">
        <x:v>1000</x:v>
      </x:c>
      <x:c r="M112" s="19" t="n">
        <x:v>3</x:v>
      </x:c>
      <x:c r="N112" s="19" t="n">
        <x:v>1000</x:v>
      </x:c>
      <x:c r="O112" s="19" t="n">
        <x:v>1</x:v>
      </x:c>
      <x:c r="P112" s="19" t="n">
        <x:v>999</x:v>
      </x:c>
      <x:c r="Q112" s="19" t="n">
        <x:v>0</x:v>
      </x:c>
      <x:c r="R112" s="21" t="n">
        <x:f>P112/L112</x:f>
        <x:v>0.999</x:v>
      </x:c>
      <x:c r="S112" s="18" t="str">
        <x:v>iteration_limit</x:v>
      </x:c>
      <x:c r="T112" s="22" t="b">
        <x:v>0</x:v>
      </x:c>
      <x:c r="U112" s="19" t="n">
        <x:v>0</x:v>
      </x:c>
      <x:c r="V112" s="19" t="n">
        <x:v>0</x:v>
      </x:c>
      <x:c r="W112" s="19" t="n">
        <x:v>0</x:v>
      </x:c>
      <x:c r="X112" s="22" t="b">
        <x:v>0</x:v>
      </x:c>
      <x:c r="Y112" s="20" t="n">
        <x:v>0</x:v>
      </x:c>
      <x:c r="Z112" s="20" t="n">
        <x:v>0</x:v>
      </x:c>
      <x:c r="AA112" s="20" t="n">
        <x:v>0</x:v>
      </x:c>
      <x:c r="AB112" s="20" t="n">
        <x:v>2.113492</x:v>
      </x:c>
      <x:c r="AC112" s="20" t="n">
        <x:v>2</x:v>
      </x:c>
      <x:c r="AD112" s="20" t="n">
        <x:v>236.59311</x:v>
      </x:c>
      <x:c r="AE112" s="20" t="n">
        <x:v>1260.683715</x:v>
      </x:c>
      <x:c r="AF112" s="18" t="str">
        <x:v>{"random_removal": 1.0, "related_removal": 1.0, "worst_removal": 1.0}</x:v>
      </x:c>
      <x:c r="AG112" s="18" t="str">
        <x:v>{"greedy_insertion": 1.0, "regret_2_insertion": 1.0}</x:v>
      </x:c>
      <x:c r="AH112" s="18" t="str">
        <x:v>[["D0", "C12", "S5", "C100", "D0"], ["D0", "S15", "C64", "C85", "D0"], ["D0", "C30", "D0"]]</x:v>
      </x:c>
    </x:row>
    <x:row r="113">
      <x:c r="A113" s="18" t="str">
        <x:v>results/week6/ablation_no_adaptive/alns_evrptw_summary.csv</x:v>
      </x:c>
      <x:c r="B113" s="18" t="str">
        <x:v>No_Adaptive</x:v>
      </x:c>
      <x:c r="C113" s="18" t="str">
        <x:v>ALNS_EVRPTW_FULL_RECHARGE</x:v>
      </x:c>
      <x:c r="D113" s="18" t="str">
        <x:v>c101C10</x:v>
      </x:c>
      <x:c r="E113" s="19" t="n">
        <x:v>64</x:v>
      </x:c>
      <x:c r="F113" s="18" t="str">
        <x:v>C</x:v>
      </x:c>
      <x:c r="G113" s="19" t="n">
        <x:v>10</x:v>
      </x:c>
      <x:c r="H113" s="18" t="n">
        <x:v>1</x:v>
      </x:c>
      <x:c r="I113" s="19" t="n">
        <x:v>3</x:v>
      </x:c>
      <x:c r="J113" s="20" t="n">
        <x:v>408.477828</x:v>
      </x:c>
      <x:c r="K113" s="20" t="n">
        <x:v>21.690958</x:v>
      </x:c>
      <x:c r="L113" s="19" t="n">
        <x:v>1000</x:v>
      </x:c>
      <x:c r="M113" s="19" t="n">
        <x:v>44</x:v>
      </x:c>
      <x:c r="N113" s="19" t="n">
        <x:v>931</x:v>
      </x:c>
      <x:c r="O113" s="19" t="n">
        <x:v>7</x:v>
      </x:c>
      <x:c r="P113" s="19" t="n">
        <x:v>917</x:v>
      </x:c>
      <x:c r="Q113" s="19" t="n">
        <x:v>7</x:v>
      </x:c>
      <x:c r="R113" s="21" t="n">
        <x:f>P113/L113</x:f>
        <x:v>0.917</x:v>
      </x:c>
      <x:c r="S113" s="18" t="str">
        <x:v>iteration_limit</x:v>
      </x:c>
      <x:c r="T113" s="22" t="b">
        <x:v>0</x:v>
      </x:c>
      <x:c r="U113" s="19" t="n">
        <x:v>0</x:v>
      </x:c>
      <x:c r="V113" s="19" t="n">
        <x:v>0</x:v>
      </x:c>
      <x:c r="W113" s="19" t="n">
        <x:v>0</x:v>
      </x:c>
      <x:c r="X113" s="22" t="b">
        <x:v>0</x:v>
      </x:c>
      <x:c r="Y113" s="20" t="n">
        <x:v>0</x:v>
      </x:c>
      <x:c r="Z113" s="20" t="n">
        <x:v>0</x:v>
      </x:c>
      <x:c r="AA113" s="20" t="n">
        <x:v>0</x:v>
      </x:c>
      <x:c r="AB113" s="20" t="n">
        <x:v>8.21048</x:v>
      </x:c>
      <x:c r="AC113" s="20" t="n">
        <x:v>5</x:v>
      </x:c>
      <x:c r="AD113" s="20" t="n">
        <x:v>900.952858</x:v>
      </x:c>
      <x:c r="AE113" s="20" t="n">
        <x:v>1191.11285</x:v>
      </x:c>
      <x:c r="AF113" s="18" t="str">
        <x:v>{"random_removal": 1.0, "related_removal": 1.0, "worst_removal": 1.0}</x:v>
      </x:c>
      <x:c r="AG113" s="18" t="str">
        <x:v>{"greedy_insertion": 1.0, "regret_2_insertion": 1.0}</x:v>
      </x:c>
      <x:c r="AH113" s="18" t="str">
        <x:v>[["D0", "C98", "S1", "C78", "S1", "C89", "D0"], ["D0", "C96", "C95", "S3", "C4", "C100", "S3", "C13", "D0"], ["D0", "C27", "C54", "S16", "D0"]]</x:v>
      </x:c>
    </x:row>
    <x:row r="114">
      <x:c r="A114" s="18" t="str">
        <x:v>results/week6/ablation_no_adaptive/alns_evrptw_summary.csv</x:v>
      </x:c>
      <x:c r="B114" s="18" t="str">
        <x:v>No_Adaptive</x:v>
      </x:c>
      <x:c r="C114" s="18" t="str">
        <x:v>ALNS_EVRPTW_FULL_RECHARGE</x:v>
      </x:c>
      <x:c r="D114" s="18" t="str">
        <x:v>c101C10</x:v>
      </x:c>
      <x:c r="E114" s="19" t="n">
        <x:v>65</x:v>
      </x:c>
      <x:c r="F114" s="18" t="str">
        <x:v>C</x:v>
      </x:c>
      <x:c r="G114" s="19" t="n">
        <x:v>10</x:v>
      </x:c>
      <x:c r="H114" s="18" t="n">
        <x:v>1</x:v>
      </x:c>
      <x:c r="I114" s="19" t="n">
        <x:v>3</x:v>
      </x:c>
      <x:c r="J114" s="20" t="n">
        <x:v>408.477828</x:v>
      </x:c>
      <x:c r="K114" s="20" t="n">
        <x:v>20.657797</x:v>
      </x:c>
      <x:c r="L114" s="19" t="n">
        <x:v>1000</x:v>
      </x:c>
      <x:c r="M114" s="19" t="n">
        <x:v>29</x:v>
      </x:c>
      <x:c r="N114" s="19" t="n">
        <x:v>919</x:v>
      </x:c>
      <x:c r="O114" s="19" t="n">
        <x:v>6</x:v>
      </x:c>
      <x:c r="P114" s="19" t="n">
        <x:v>906</x:v>
      </x:c>
      <x:c r="Q114" s="19" t="n">
        <x:v>7</x:v>
      </x:c>
      <x:c r="R114" s="21" t="n">
        <x:f>P114/L114</x:f>
        <x:v>0.906</x:v>
      </x:c>
      <x:c r="S114" s="18" t="str">
        <x:v>iteration_limit</x:v>
      </x:c>
      <x:c r="T114" s="22" t="b">
        <x:v>0</x:v>
      </x:c>
      <x:c r="U114" s="19" t="n">
        <x:v>0</x:v>
      </x:c>
      <x:c r="V114" s="19" t="n">
        <x:v>0</x:v>
      </x:c>
      <x:c r="W114" s="19" t="n">
        <x:v>0</x:v>
      </x:c>
      <x:c r="X114" s="22" t="b">
        <x:v>0</x:v>
      </x:c>
      <x:c r="Y114" s="20" t="n">
        <x:v>0</x:v>
      </x:c>
      <x:c r="Z114" s="20" t="n">
        <x:v>0</x:v>
      </x:c>
      <x:c r="AA114" s="20" t="n">
        <x:v>0</x:v>
      </x:c>
      <x:c r="AB114" s="20" t="n">
        <x:v>8.21048</x:v>
      </x:c>
      <x:c r="AC114" s="20" t="n">
        <x:v>5</x:v>
      </x:c>
      <x:c r="AD114" s="20" t="n">
        <x:v>900.952858</x:v>
      </x:c>
      <x:c r="AE114" s="20" t="n">
        <x:v>1191.11285</x:v>
      </x:c>
      <x:c r="AF114" s="18" t="str">
        <x:v>{"random_removal": 1.0, "related_removal": 1.0, "worst_removal": 1.0}</x:v>
      </x:c>
      <x:c r="AG114" s="18" t="str">
        <x:v>{"greedy_insertion": 1.0, "regret_2_insertion": 1.0}</x:v>
      </x:c>
      <x:c r="AH114" s="18" t="str">
        <x:v>[["D0", "C98", "S1", "C78", "S1", "C89", "D0"], ["D0", "C96", "C95", "S3", "C4", "C100", "S3", "C13", "D0"], ["D0", "C27", "C54", "S16", "D0"]]</x:v>
      </x:c>
    </x:row>
    <x:row r="115">
      <x:c r="A115" s="18" t="str">
        <x:v>results/week6/ablation_no_adaptive/alns_evrptw_summary.csv</x:v>
      </x:c>
      <x:c r="B115" s="18" t="str">
        <x:v>No_Adaptive</x:v>
      </x:c>
      <x:c r="C115" s="18" t="str">
        <x:v>ALNS_EVRPTW_FULL_RECHARGE</x:v>
      </x:c>
      <x:c r="D115" s="18" t="str">
        <x:v>c101C10</x:v>
      </x:c>
      <x:c r="E115" s="19" t="n">
        <x:v>66</x:v>
      </x:c>
      <x:c r="F115" s="18" t="str">
        <x:v>C</x:v>
      </x:c>
      <x:c r="G115" s="19" t="n">
        <x:v>10</x:v>
      </x:c>
      <x:c r="H115" s="18" t="n">
        <x:v>1</x:v>
      </x:c>
      <x:c r="I115" s="19" t="n">
        <x:v>3</x:v>
      </x:c>
      <x:c r="J115" s="20" t="n">
        <x:v>408.477828</x:v>
      </x:c>
      <x:c r="K115" s="20" t="n">
        <x:v>19.587547</x:v>
      </x:c>
      <x:c r="L115" s="19" t="n">
        <x:v>1000</x:v>
      </x:c>
      <x:c r="M115" s="19" t="n">
        <x:v>20</x:v>
      </x:c>
      <x:c r="N115" s="19" t="n">
        <x:v>899</x:v>
      </x:c>
      <x:c r="O115" s="19" t="n">
        <x:v>5</x:v>
      </x:c>
      <x:c r="P115" s="19" t="n">
        <x:v>887</x:v>
      </x:c>
      <x:c r="Q115" s="19" t="n">
        <x:v>7</x:v>
      </x:c>
      <x:c r="R115" s="21" t="n">
        <x:f>P115/L115</x:f>
        <x:v>0.887</x:v>
      </x:c>
      <x:c r="S115" s="18" t="str">
        <x:v>iteration_limit</x:v>
      </x:c>
      <x:c r="T115" s="22" t="b">
        <x:v>0</x:v>
      </x:c>
      <x:c r="U115" s="19" t="n">
        <x:v>0</x:v>
      </x:c>
      <x:c r="V115" s="19" t="n">
        <x:v>0</x:v>
      </x:c>
      <x:c r="W115" s="19" t="n">
        <x:v>0</x:v>
      </x:c>
      <x:c r="X115" s="22" t="b">
        <x:v>0</x:v>
      </x:c>
      <x:c r="Y115" s="20" t="n">
        <x:v>0</x:v>
      </x:c>
      <x:c r="Z115" s="20" t="n">
        <x:v>0</x:v>
      </x:c>
      <x:c r="AA115" s="20" t="n">
        <x:v>0</x:v>
      </x:c>
      <x:c r="AB115" s="20" t="n">
        <x:v>8.21048</x:v>
      </x:c>
      <x:c r="AC115" s="20" t="n">
        <x:v>5</x:v>
      </x:c>
      <x:c r="AD115" s="20" t="n">
        <x:v>900.952858</x:v>
      </x:c>
      <x:c r="AE115" s="20" t="n">
        <x:v>1191.11285</x:v>
      </x:c>
      <x:c r="AF115" s="18" t="str">
        <x:v>{"random_removal": 1.0, "related_removal": 1.0, "worst_removal": 1.0}</x:v>
      </x:c>
      <x:c r="AG115" s="18" t="str">
        <x:v>{"greedy_insertion": 1.0, "regret_2_insertion": 1.0}</x:v>
      </x:c>
      <x:c r="AH115" s="18" t="str">
        <x:v>[["D0", "C98", "S1", "C78", "S1", "C89", "D0"], ["D0", "C96", "C95", "S3", "C4", "C100", "S3", "C13", "D0"], ["D0", "C27", "C54", "S16", "D0"]]</x:v>
      </x:c>
    </x:row>
    <x:row r="116">
      <x:c r="A116" s="18" t="str">
        <x:v>results/week6/ablation_no_adaptive/alns_evrptw_summary.csv</x:v>
      </x:c>
      <x:c r="B116" s="18" t="str">
        <x:v>No_Adaptive</x:v>
      </x:c>
      <x:c r="C116" s="18" t="str">
        <x:v>ALNS_EVRPTW_FULL_RECHARGE</x:v>
      </x:c>
      <x:c r="D116" s="18" t="str">
        <x:v>c103C15</x:v>
      </x:c>
      <x:c r="E116" s="19" t="n">
        <x:v>64</x:v>
      </x:c>
      <x:c r="F116" s="18" t="str">
        <x:v>C</x:v>
      </x:c>
      <x:c r="G116" s="19" t="n">
        <x:v>15</x:v>
      </x:c>
      <x:c r="H116" s="18" t="n">
        <x:v>1</x:v>
      </x:c>
      <x:c r="I116" s="19" t="n">
        <x:v>3</x:v>
      </x:c>
      <x:c r="J116" s="20" t="n">
        <x:v>392.977769</x:v>
      </x:c>
      <x:c r="K116" s="20" t="n">
        <x:v>76.889024</x:v>
      </x:c>
      <x:c r="L116" s="19" t="n">
        <x:v>1000</x:v>
      </x:c>
      <x:c r="M116" s="19" t="n">
        <x:v>0</x:v>
      </x:c>
      <x:c r="N116" s="19" t="n">
        <x:v>942</x:v>
      </x:c>
      <x:c r="O116" s="19" t="n">
        <x:v>25</x:v>
      </x:c>
      <x:c r="P116" s="19" t="n">
        <x:v>892</x:v>
      </x:c>
      <x:c r="Q116" s="19" t="n">
        <x:v>25</x:v>
      </x:c>
      <x:c r="R116" s="21" t="n">
        <x:f>P116/L116</x:f>
        <x:v>0.892</x:v>
      </x:c>
      <x:c r="S116" s="18" t="str">
        <x:v>iteration_limit</x:v>
      </x:c>
      <x:c r="T116" s="22" t="b">
        <x:v>0</x:v>
      </x:c>
      <x:c r="U116" s="19" t="n">
        <x:v>0</x:v>
      </x:c>
      <x:c r="V116" s="19" t="n">
        <x:v>0</x:v>
      </x:c>
      <x:c r="W116" s="19" t="n">
        <x:v>0</x:v>
      </x:c>
      <x:c r="X116" s="22" t="b">
        <x:v>0</x:v>
      </x:c>
      <x:c r="Y116" s="20" t="n">
        <x:v>0</x:v>
      </x:c>
      <x:c r="Z116" s="20" t="n">
        <x:v>0</x:v>
      </x:c>
      <x:c r="AA116" s="20" t="n">
        <x:v>0</x:v>
      </x:c>
      <x:c r="AB116" s="20" t="n">
        <x:v>1.327451</x:v>
      </x:c>
      <x:c r="AC116" s="20" t="n">
        <x:v>4</x:v>
      </x:c>
      <x:c r="AD116" s="20" t="n">
        <x:v>748.055391</x:v>
      </x:c>
      <x:c r="AE116" s="20" t="n">
        <x:v>1088.375049</x:v>
      </x:c>
      <x:c r="AF116" s="18" t="str">
        <x:v>{"random_removal": 1.0, "related_removal": 1.0, "worst_removal": 1.0}</x:v>
      </x:c>
      <x:c r="AG116" s="18" t="str">
        <x:v>{"greedy_insertion": 1.0, "regret_2_insertion": 1.0}</x:v>
      </x:c>
      <x:c r="AH116" s="18" t="str">
        <x:v>[["D0", "C59", "C40", "S15", "C61", "C85", "D0"], ["D0", "C30", "C33", "C35", "S13", "C50", "C44", "D0"], ["D0", "C98", "C95", "S3", "C18", "C19", "S7", "C10", "C13", "D0"]]</x:v>
      </x:c>
    </x:row>
    <x:row r="117">
      <x:c r="A117" s="18" t="str">
        <x:v>results/week6/ablation_no_adaptive/alns_evrptw_summary.csv</x:v>
      </x:c>
      <x:c r="B117" s="18" t="str">
        <x:v>No_Adaptive</x:v>
      </x:c>
      <x:c r="C117" s="18" t="str">
        <x:v>ALNS_EVRPTW_FULL_RECHARGE</x:v>
      </x:c>
      <x:c r="D117" s="18" t="str">
        <x:v>c103C15</x:v>
      </x:c>
      <x:c r="E117" s="19" t="n">
        <x:v>65</x:v>
      </x:c>
      <x:c r="F117" s="18" t="str">
        <x:v>C</x:v>
      </x:c>
      <x:c r="G117" s="19" t="n">
        <x:v>15</x:v>
      </x:c>
      <x:c r="H117" s="18" t="n">
        <x:v>1</x:v>
      </x:c>
      <x:c r="I117" s="19" t="n">
        <x:v>3</x:v>
      </x:c>
      <x:c r="J117" s="20" t="n">
        <x:v>392.977769</x:v>
      </x:c>
      <x:c r="K117" s="20" t="n">
        <x:v>77.201941</x:v>
      </x:c>
      <x:c r="L117" s="19" t="n">
        <x:v>1000</x:v>
      </x:c>
      <x:c r="M117" s="19" t="n">
        <x:v>0</x:v>
      </x:c>
      <x:c r="N117" s="19" t="n">
        <x:v>952</x:v>
      </x:c>
      <x:c r="O117" s="19" t="n">
        <x:v>23</x:v>
      </x:c>
      <x:c r="P117" s="19" t="n">
        <x:v>906</x:v>
      </x:c>
      <x:c r="Q117" s="19" t="n">
        <x:v>23</x:v>
      </x:c>
      <x:c r="R117" s="21" t="n">
        <x:f>P117/L117</x:f>
        <x:v>0.906</x:v>
      </x:c>
      <x:c r="S117" s="18" t="str">
        <x:v>iteration_limit</x:v>
      </x:c>
      <x:c r="T117" s="22" t="b">
        <x:v>0</x:v>
      </x:c>
      <x:c r="U117" s="19" t="n">
        <x:v>0</x:v>
      </x:c>
      <x:c r="V117" s="19" t="n">
        <x:v>0</x:v>
      </x:c>
      <x:c r="W117" s="19" t="n">
        <x:v>0</x:v>
      </x:c>
      <x:c r="X117" s="22" t="b">
        <x:v>0</x:v>
      </x:c>
      <x:c r="Y117" s="20" t="n">
        <x:v>0</x:v>
      </x:c>
      <x:c r="Z117" s="20" t="n">
        <x:v>0</x:v>
      </x:c>
      <x:c r="AA117" s="20" t="n">
        <x:v>0</x:v>
      </x:c>
      <x:c r="AB117" s="20" t="n">
        <x:v>1.327451</x:v>
      </x:c>
      <x:c r="AC117" s="20" t="n">
        <x:v>4</x:v>
      </x:c>
      <x:c r="AD117" s="20" t="n">
        <x:v>748.055391</x:v>
      </x:c>
      <x:c r="AE117" s="20" t="n">
        <x:v>1088.375049</x:v>
      </x:c>
      <x:c r="AF117" s="18" t="str">
        <x:v>{"random_removal": 1.0, "related_removal": 1.0, "worst_removal": 1.0}</x:v>
      </x:c>
      <x:c r="AG117" s="18" t="str">
        <x:v>{"greedy_insertion": 1.0, "regret_2_insertion": 1.0}</x:v>
      </x:c>
      <x:c r="AH117" s="18" t="str">
        <x:v>[["D0", "C59", "C40", "S15", "C61", "C85", "D0"], ["D0", "C30", "C33", "C35", "S13", "C50", "C44", "D0"], ["D0", "C98", "C95", "S3", "C18", "C19", "S7", "C10", "C13", "D0"]]</x:v>
      </x:c>
    </x:row>
    <x:row r="118">
      <x:c r="A118" s="18" t="str">
        <x:v>results/week6/ablation_no_adaptive/alns_evrptw_summary.csv</x:v>
      </x:c>
      <x:c r="B118" s="18" t="str">
        <x:v>No_Adaptive</x:v>
      </x:c>
      <x:c r="C118" s="18" t="str">
        <x:v>ALNS_EVRPTW_FULL_RECHARGE</x:v>
      </x:c>
      <x:c r="D118" s="18" t="str">
        <x:v>c103C15</x:v>
      </x:c>
      <x:c r="E118" s="19" t="n">
        <x:v>66</x:v>
      </x:c>
      <x:c r="F118" s="18" t="str">
        <x:v>C</x:v>
      </x:c>
      <x:c r="G118" s="19" t="n">
        <x:v>15</x:v>
      </x:c>
      <x:c r="H118" s="18" t="n">
        <x:v>1</x:v>
      </x:c>
      <x:c r="I118" s="19" t="n">
        <x:v>3</x:v>
      </x:c>
      <x:c r="J118" s="20" t="n">
        <x:v>392.977769</x:v>
      </x:c>
      <x:c r="K118" s="20" t="n">
        <x:v>67.306606</x:v>
      </x:c>
      <x:c r="L118" s="19" t="n">
        <x:v>1000</x:v>
      </x:c>
      <x:c r="M118" s="19" t="n">
        <x:v>0</x:v>
      </x:c>
      <x:c r="N118" s="19" t="n">
        <x:v>934</x:v>
      </x:c>
      <x:c r="O118" s="19" t="n">
        <x:v>19</x:v>
      </x:c>
      <x:c r="P118" s="19" t="n">
        <x:v>896</x:v>
      </x:c>
      <x:c r="Q118" s="19" t="n">
        <x:v>19</x:v>
      </x:c>
      <x:c r="R118" s="21" t="n">
        <x:f>P118/L118</x:f>
        <x:v>0.896</x:v>
      </x:c>
      <x:c r="S118" s="18" t="str">
        <x:v>iteration_limit</x:v>
      </x:c>
      <x:c r="T118" s="22" t="b">
        <x:v>0</x:v>
      </x:c>
      <x:c r="U118" s="19" t="n">
        <x:v>0</x:v>
      </x:c>
      <x:c r="V118" s="19" t="n">
        <x:v>0</x:v>
      </x:c>
      <x:c r="W118" s="19" t="n">
        <x:v>0</x:v>
      </x:c>
      <x:c r="X118" s="22" t="b">
        <x:v>0</x:v>
      </x:c>
      <x:c r="Y118" s="20" t="n">
        <x:v>0</x:v>
      </x:c>
      <x:c r="Z118" s="20" t="n">
        <x:v>0</x:v>
      </x:c>
      <x:c r="AA118" s="20" t="n">
        <x:v>0</x:v>
      </x:c>
      <x:c r="AB118" s="20" t="n">
        <x:v>1.327451</x:v>
      </x:c>
      <x:c r="AC118" s="20" t="n">
        <x:v>4</x:v>
      </x:c>
      <x:c r="AD118" s="20" t="n">
        <x:v>748.055391</x:v>
      </x:c>
      <x:c r="AE118" s="20" t="n">
        <x:v>1088.375049</x:v>
      </x:c>
      <x:c r="AF118" s="18" t="str">
        <x:v>{"random_removal": 1.0, "related_removal": 1.0, "worst_removal": 1.0}</x:v>
      </x:c>
      <x:c r="AG118" s="18" t="str">
        <x:v>{"greedy_insertion": 1.0, "regret_2_insertion": 1.0}</x:v>
      </x:c>
      <x:c r="AH118" s="18" t="str">
        <x:v>[["D0", "C59", "C40", "S15", "C61", "C85", "D0"], ["D0", "C30", "C33", "C35", "S13", "C50", "C44", "D0"], ["D0", "C98", "C95", "S3", "C18", "C19", "S7", "C10", "C13", "D0"]]</x:v>
      </x:c>
    </x:row>
    <x:row r="119">
      <x:c r="A119" s="18" t="str">
        <x:v>results/week6/ablation_no_adaptive/alns_evrptw_summary.csv</x:v>
      </x:c>
      <x:c r="B119" s="18" t="str">
        <x:v>No_Adaptive</x:v>
      </x:c>
      <x:c r="C119" s="18" t="str">
        <x:v>ALNS_EVRPTW_FULL_RECHARGE</x:v>
      </x:c>
      <x:c r="D119" s="18" t="str">
        <x:v>c206C5</x:v>
      </x:c>
      <x:c r="E119" s="19" t="n">
        <x:v>64</x:v>
      </x:c>
      <x:c r="F119" s="18" t="str">
        <x:v>C</x:v>
      </x:c>
      <x:c r="G119" s="19" t="n">
        <x:v>5</x:v>
      </x:c>
      <x:c r="H119" s="18" t="n">
        <x:v>1</x:v>
      </x:c>
      <x:c r="I119" s="19" t="n">
        <x:v>1</x:v>
      </x:c>
      <x:c r="J119" s="20" t="n">
        <x:v>242.555652</x:v>
      </x:c>
      <x:c r="K119" s="20" t="n">
        <x:v>2.263023</x:v>
      </x:c>
      <x:c r="L119" s="19" t="n">
        <x:v>1000</x:v>
      </x:c>
      <x:c r="M119" s="19" t="n">
        <x:v>0</x:v>
      </x:c>
      <x:c r="N119" s="19" t="n">
        <x:v>1000</x:v>
      </x:c>
      <x:c r="O119" s="19" t="n">
        <x:v>0</x:v>
      </x:c>
      <x:c r="P119" s="19" t="n">
        <x:v>1000</x:v>
      </x:c>
      <x:c r="Q119" s="19" t="n">
        <x:v>0</x:v>
      </x:c>
      <x:c r="R119" s="21" t="n">
        <x:f>P119/L119</x:f>
        <x:v>1</x:v>
      </x:c>
      <x:c r="S119" s="18" t="str">
        <x:v>iteration_limit</x:v>
      </x:c>
      <x:c r="T119" s="22" t="b">
        <x:v>0</x:v>
      </x:c>
      <x:c r="U119" s="19" t="n">
        <x:v>0</x:v>
      </x:c>
      <x:c r="V119" s="19" t="n">
        <x:v>0</x:v>
      </x:c>
      <x:c r="W119" s="19" t="n">
        <x:v>0</x:v>
      </x:c>
      <x:c r="X119" s="22" t="b">
        <x:v>0</x:v>
      </x:c>
      <x:c r="Y119" s="20" t="n">
        <x:v>0</x:v>
      </x:c>
      <x:c r="Z119" s="20" t="n">
        <x:v>0</x:v>
      </x:c>
      <x:c r="AA119" s="20" t="n">
        <x:v>0</x:v>
      </x:c>
      <x:c r="AB119" s="20" t="n">
        <x:v>1.592269</x:v>
      </x:c>
      <x:c r="AC119" s="20" t="n">
        <x:v>3</x:v>
      </x:c>
      <x:c r="AD119" s="20" t="n">
        <x:v>577.400785</x:v>
      </x:c>
      <x:c r="AE119" s="20" t="n">
        <x:v>1070.388466</x:v>
      </x:c>
      <x:c r="AF119" s="18" t="str">
        <x:v>{"random_removal": 1.0, "related_removal": 1.0, "worst_removal": 1.0}</x:v>
      </x:c>
      <x:c r="AG119" s="18" t="str">
        <x:v>{"greedy_insertion": 1.0, "regret_2_insertion": 1.0}</x:v>
      </x:c>
      <x:c r="AH119" s="18" t="str">
        <x:v>[["D0", "C75", "S0", "C44", "C53", "S17", "C77", "S0", "C35", "D0"]]</x:v>
      </x:c>
    </x:row>
    <x:row r="120">
      <x:c r="A120" s="18" t="str">
        <x:v>results/week6/ablation_no_adaptive/alns_evrptw_summary.csv</x:v>
      </x:c>
      <x:c r="B120" s="18" t="str">
        <x:v>No_Adaptive</x:v>
      </x:c>
      <x:c r="C120" s="18" t="str">
        <x:v>ALNS_EVRPTW_FULL_RECHARGE</x:v>
      </x:c>
      <x:c r="D120" s="18" t="str">
        <x:v>c206C5</x:v>
      </x:c>
      <x:c r="E120" s="19" t="n">
        <x:v>65</x:v>
      </x:c>
      <x:c r="F120" s="18" t="str">
        <x:v>C</x:v>
      </x:c>
      <x:c r="G120" s="19" t="n">
        <x:v>5</x:v>
      </x:c>
      <x:c r="H120" s="18" t="n">
        <x:v>1</x:v>
      </x:c>
      <x:c r="I120" s="19" t="n">
        <x:v>1</x:v>
      </x:c>
      <x:c r="J120" s="20" t="n">
        <x:v>242.555652</x:v>
      </x:c>
      <x:c r="K120" s="20" t="n">
        <x:v>2.145903</x:v>
      </x:c>
      <x:c r="L120" s="19" t="n">
        <x:v>1000</x:v>
      </x:c>
      <x:c r="M120" s="19" t="n">
        <x:v>0</x:v>
      </x:c>
      <x:c r="N120" s="19" t="n">
        <x:v>1000</x:v>
      </x:c>
      <x:c r="O120" s="19" t="n">
        <x:v>0</x:v>
      </x:c>
      <x:c r="P120" s="19" t="n">
        <x:v>1000</x:v>
      </x:c>
      <x:c r="Q120" s="19" t="n">
        <x:v>0</x:v>
      </x:c>
      <x:c r="R120" s="21" t="n">
        <x:f>P120/L120</x:f>
        <x:v>1</x:v>
      </x:c>
      <x:c r="S120" s="18" t="str">
        <x:v>iteration_limit</x:v>
      </x:c>
      <x:c r="T120" s="22" t="b">
        <x:v>0</x:v>
      </x:c>
      <x:c r="U120" s="19" t="n">
        <x:v>0</x:v>
      </x:c>
      <x:c r="V120" s="19" t="n">
        <x:v>0</x:v>
      </x:c>
      <x:c r="W120" s="19" t="n">
        <x:v>0</x:v>
      </x:c>
      <x:c r="X120" s="22" t="b">
        <x:v>0</x:v>
      </x:c>
      <x:c r="Y120" s="20" t="n">
        <x:v>0</x:v>
      </x:c>
      <x:c r="Z120" s="20" t="n">
        <x:v>0</x:v>
      </x:c>
      <x:c r="AA120" s="20" t="n">
        <x:v>0</x:v>
      </x:c>
      <x:c r="AB120" s="20" t="n">
        <x:v>1.592269</x:v>
      </x:c>
      <x:c r="AC120" s="20" t="n">
        <x:v>3</x:v>
      </x:c>
      <x:c r="AD120" s="20" t="n">
        <x:v>577.400785</x:v>
      </x:c>
      <x:c r="AE120" s="20" t="n">
        <x:v>1070.388466</x:v>
      </x:c>
      <x:c r="AF120" s="18" t="str">
        <x:v>{"random_removal": 1.0, "related_removal": 1.0, "worst_removal": 1.0}</x:v>
      </x:c>
      <x:c r="AG120" s="18" t="str">
        <x:v>{"greedy_insertion": 1.0, "regret_2_insertion": 1.0}</x:v>
      </x:c>
      <x:c r="AH120" s="18" t="str">
        <x:v>[["D0", "C75", "S0", "C44", "C53", "S17", "C77", "S0", "C35", "D0"]]</x:v>
      </x:c>
    </x:row>
    <x:row r="121">
      <x:c r="A121" s="18" t="str">
        <x:v>results/week6/ablation_no_adaptive/alns_evrptw_summary.csv</x:v>
      </x:c>
      <x:c r="B121" s="18" t="str">
        <x:v>No_Adaptive</x:v>
      </x:c>
      <x:c r="C121" s="18" t="str">
        <x:v>ALNS_EVRPTW_FULL_RECHARGE</x:v>
      </x:c>
      <x:c r="D121" s="18" t="str">
        <x:v>c206C5</x:v>
      </x:c>
      <x:c r="E121" s="19" t="n">
        <x:v>66</x:v>
      </x:c>
      <x:c r="F121" s="18" t="str">
        <x:v>C</x:v>
      </x:c>
      <x:c r="G121" s="19" t="n">
        <x:v>5</x:v>
      </x:c>
      <x:c r="H121" s="18" t="n">
        <x:v>1</x:v>
      </x:c>
      <x:c r="I121" s="19" t="n">
        <x:v>1</x:v>
      </x:c>
      <x:c r="J121" s="20" t="n">
        <x:v>242.555652</x:v>
      </x:c>
      <x:c r="K121" s="20" t="n">
        <x:v>2.109227</x:v>
      </x:c>
      <x:c r="L121" s="19" t="n">
        <x:v>1000</x:v>
      </x:c>
      <x:c r="M121" s="19" t="n">
        <x:v>0</x:v>
      </x:c>
      <x:c r="N121" s="19" t="n">
        <x:v>1000</x:v>
      </x:c>
      <x:c r="O121" s="19" t="n">
        <x:v>0</x:v>
      </x:c>
      <x:c r="P121" s="19" t="n">
        <x:v>1000</x:v>
      </x:c>
      <x:c r="Q121" s="19" t="n">
        <x:v>0</x:v>
      </x:c>
      <x:c r="R121" s="21" t="n">
        <x:f>P121/L121</x:f>
        <x:v>1</x:v>
      </x:c>
      <x:c r="S121" s="18" t="str">
        <x:v>iteration_limit</x:v>
      </x:c>
      <x:c r="T121" s="22" t="b">
        <x:v>0</x:v>
      </x:c>
      <x:c r="U121" s="19" t="n">
        <x:v>0</x:v>
      </x:c>
      <x:c r="V121" s="19" t="n">
        <x:v>0</x:v>
      </x:c>
      <x:c r="W121" s="19" t="n">
        <x:v>0</x:v>
      </x:c>
      <x:c r="X121" s="22" t="b">
        <x:v>0</x:v>
      </x:c>
      <x:c r="Y121" s="20" t="n">
        <x:v>0</x:v>
      </x:c>
      <x:c r="Z121" s="20" t="n">
        <x:v>0</x:v>
      </x:c>
      <x:c r="AA121" s="20" t="n">
        <x:v>0</x:v>
      </x:c>
      <x:c r="AB121" s="20" t="n">
        <x:v>1.592269</x:v>
      </x:c>
      <x:c r="AC121" s="20" t="n">
        <x:v>3</x:v>
      </x:c>
      <x:c r="AD121" s="20" t="n">
        <x:v>577.400785</x:v>
      </x:c>
      <x:c r="AE121" s="20" t="n">
        <x:v>1070.388466</x:v>
      </x:c>
      <x:c r="AF121" s="18" t="str">
        <x:v>{"random_removal": 1.0, "related_removal": 1.0, "worst_removal": 1.0}</x:v>
      </x:c>
      <x:c r="AG121" s="18" t="str">
        <x:v>{"greedy_insertion": 1.0, "regret_2_insertion": 1.0}</x:v>
      </x:c>
      <x:c r="AH121" s="18" t="str">
        <x:v>[["D0", "C75", "S0", "C44", "C53", "S17", "C77", "S0", "C35", "D0"]]</x:v>
      </x:c>
    </x:row>
    <x:row r="122">
      <x:c r="A122" s="18" t="str">
        <x:v>results/week6/ablation_no_adaptive/alns_evrptw_summary.csv</x:v>
      </x:c>
      <x:c r="B122" s="18" t="str">
        <x:v>No_Adaptive</x:v>
      </x:c>
      <x:c r="C122" s="18" t="str">
        <x:v>ALNS_EVRPTW_FULL_RECHARGE</x:v>
      </x:c>
      <x:c r="D122" s="18" t="str">
        <x:v>c202C10</x:v>
      </x:c>
      <x:c r="E122" s="19" t="n">
        <x:v>64</x:v>
      </x:c>
      <x:c r="F122" s="18" t="str">
        <x:v>C</x:v>
      </x:c>
      <x:c r="G122" s="19" t="n">
        <x:v>10</x:v>
      </x:c>
      <x:c r="H122" s="18" t="n">
        <x:v>1</x:v>
      </x:c>
      <x:c r="I122" s="19" t="n">
        <x:v>1</x:v>
      </x:c>
      <x:c r="J122" s="20" t="n">
        <x:v>304.058332</x:v>
      </x:c>
      <x:c r="K122" s="20" t="n">
        <x:v>27.998656</x:v>
      </x:c>
      <x:c r="L122" s="19" t="n">
        <x:v>1000</x:v>
      </x:c>
      <x:c r="M122" s="19" t="n">
        <x:v>2</x:v>
      </x:c>
      <x:c r="N122" s="19" t="n">
        <x:v>1000</x:v>
      </x:c>
      <x:c r="O122" s="19" t="n">
        <x:v>1</x:v>
      </x:c>
      <x:c r="P122" s="19" t="n">
        <x:v>999</x:v>
      </x:c>
      <x:c r="Q122" s="19" t="n">
        <x:v>0</x:v>
      </x:c>
      <x:c r="R122" s="21" t="n">
        <x:f>P122/L122</x:f>
        <x:v>0.999</x:v>
      </x:c>
      <x:c r="S122" s="18" t="str">
        <x:v>iteration_limit</x:v>
      </x:c>
      <x:c r="T122" s="22" t="b">
        <x:v>0</x:v>
      </x:c>
      <x:c r="U122" s="19" t="n">
        <x:v>0</x:v>
      </x:c>
      <x:c r="V122" s="19" t="n">
        <x:v>0</x:v>
      </x:c>
      <x:c r="W122" s="19" t="n">
        <x:v>0</x:v>
      </x:c>
      <x:c r="X122" s="22" t="b">
        <x:v>0</x:v>
      </x:c>
      <x:c r="Y122" s="20" t="n">
        <x:v>0</x:v>
      </x:c>
      <x:c r="Z122" s="20" t="n">
        <x:v>0</x:v>
      </x:c>
      <x:c r="AA122" s="20" t="n">
        <x:v>0</x:v>
      </x:c>
      <x:c r="AB122" s="20" t="n">
        <x:v>9.470097</x:v>
      </x:c>
      <x:c r="AC122" s="20" t="n">
        <x:v>5</x:v>
      </x:c>
      <x:c r="AD122" s="20" t="n">
        <x:v>896.598704</x:v>
      </x:c>
      <x:c r="AE122" s="20" t="n">
        <x:v>929.342963</x:v>
      </x:c>
      <x:c r="AF122" s="18" t="str">
        <x:v>{"random_removal": 1.0, "related_removal": 1.0, "worst_removal": 1.0}</x:v>
      </x:c>
      <x:c r="AG122" s="18" t="str">
        <x:v>{"greedy_insertion": 1.0, "regret_2_insertion": 1.0}</x:v>
      </x:c>
      <x:c r="AH122" s="18" t="str">
        <x:v>[["D0", "C8", "C10", "S1", "C84", "C16", "S7", "C25", "S0", "C96", "S15", "C57", "S13", "C6", "C30", "C24", "D0"]]</x:v>
      </x:c>
    </x:row>
    <x:row r="123">
      <x:c r="A123" s="18" t="str">
        <x:v>results/week6/ablation_no_adaptive/alns_evrptw_summary.csv</x:v>
      </x:c>
      <x:c r="B123" s="18" t="str">
        <x:v>No_Adaptive</x:v>
      </x:c>
      <x:c r="C123" s="18" t="str">
        <x:v>ALNS_EVRPTW_FULL_RECHARGE</x:v>
      </x:c>
      <x:c r="D123" s="18" t="str">
        <x:v>c202C10</x:v>
      </x:c>
      <x:c r="E123" s="19" t="n">
        <x:v>65</x:v>
      </x:c>
      <x:c r="F123" s="18" t="str">
        <x:v>C</x:v>
      </x:c>
      <x:c r="G123" s="19" t="n">
        <x:v>10</x:v>
      </x:c>
      <x:c r="H123" s="18" t="n">
        <x:v>1</x:v>
      </x:c>
      <x:c r="I123" s="19" t="n">
        <x:v>1</x:v>
      </x:c>
      <x:c r="J123" s="20" t="n">
        <x:v>304.058332</x:v>
      </x:c>
      <x:c r="K123" s="20" t="n">
        <x:v>29.37988</x:v>
      </x:c>
      <x:c r="L123" s="19" t="n">
        <x:v>1000</x:v>
      </x:c>
      <x:c r="M123" s="19" t="n">
        <x:v>1</x:v>
      </x:c>
      <x:c r="N123" s="19" t="n">
        <x:v>1000</x:v>
      </x:c>
      <x:c r="O123" s="19" t="n">
        <x:v>1</x:v>
      </x:c>
      <x:c r="P123" s="19" t="n">
        <x:v>999</x:v>
      </x:c>
      <x:c r="Q123" s="19" t="n">
        <x:v>0</x:v>
      </x:c>
      <x:c r="R123" s="21" t="n">
        <x:f>P123/L123</x:f>
        <x:v>0.999</x:v>
      </x:c>
      <x:c r="S123" s="18" t="str">
        <x:v>iteration_limit</x:v>
      </x:c>
      <x:c r="T123" s="22" t="b">
        <x:v>0</x:v>
      </x:c>
      <x:c r="U123" s="19" t="n">
        <x:v>0</x:v>
      </x:c>
      <x:c r="V123" s="19" t="n">
        <x:v>0</x:v>
      </x:c>
      <x:c r="W123" s="19" t="n">
        <x:v>0</x:v>
      </x:c>
      <x:c r="X123" s="22" t="b">
        <x:v>0</x:v>
      </x:c>
      <x:c r="Y123" s="20" t="n">
        <x:v>0</x:v>
      </x:c>
      <x:c r="Z123" s="20" t="n">
        <x:v>0</x:v>
      </x:c>
      <x:c r="AA123" s="20" t="n">
        <x:v>0</x:v>
      </x:c>
      <x:c r="AB123" s="20" t="n">
        <x:v>9.470097</x:v>
      </x:c>
      <x:c r="AC123" s="20" t="n">
        <x:v>5</x:v>
      </x:c>
      <x:c r="AD123" s="20" t="n">
        <x:v>896.598704</x:v>
      </x:c>
      <x:c r="AE123" s="20" t="n">
        <x:v>929.342963</x:v>
      </x:c>
      <x:c r="AF123" s="18" t="str">
        <x:v>{"random_removal": 1.0, "related_removal": 1.0, "worst_removal": 1.0}</x:v>
      </x:c>
      <x:c r="AG123" s="18" t="str">
        <x:v>{"greedy_insertion": 1.0, "regret_2_insertion": 1.0}</x:v>
      </x:c>
      <x:c r="AH123" s="18" t="str">
        <x:v>[["D0", "C8", "C10", "S1", "C84", "C16", "S7", "C25", "S0", "C96", "S15", "C57", "S13", "C6", "C30", "C24", "D0"]]</x:v>
      </x:c>
    </x:row>
    <x:row r="124">
      <x:c r="A124" s="18" t="str">
        <x:v>results/week6/ablation_no_adaptive/alns_evrptw_summary.csv</x:v>
      </x:c>
      <x:c r="B124" s="18" t="str">
        <x:v>No_Adaptive</x:v>
      </x:c>
      <x:c r="C124" s="18" t="str">
        <x:v>ALNS_EVRPTW_FULL_RECHARGE</x:v>
      </x:c>
      <x:c r="D124" s="18" t="str">
        <x:v>c202C10</x:v>
      </x:c>
      <x:c r="E124" s="19" t="n">
        <x:v>66</x:v>
      </x:c>
      <x:c r="F124" s="18" t="str">
        <x:v>C</x:v>
      </x:c>
      <x:c r="G124" s="19" t="n">
        <x:v>10</x:v>
      </x:c>
      <x:c r="H124" s="18" t="n">
        <x:v>1</x:v>
      </x:c>
      <x:c r="I124" s="19" t="n">
        <x:v>1</x:v>
      </x:c>
      <x:c r="J124" s="20" t="n">
        <x:v>304.058332</x:v>
      </x:c>
      <x:c r="K124" s="20" t="n">
        <x:v>27.242622</x:v>
      </x:c>
      <x:c r="L124" s="19" t="n">
        <x:v>1000</x:v>
      </x:c>
      <x:c r="M124" s="19" t="n">
        <x:v>4</x:v>
      </x:c>
      <x:c r="N124" s="19" t="n">
        <x:v>1000</x:v>
      </x:c>
      <x:c r="O124" s="19" t="n">
        <x:v>1</x:v>
      </x:c>
      <x:c r="P124" s="19" t="n">
        <x:v>999</x:v>
      </x:c>
      <x:c r="Q124" s="19" t="n">
        <x:v>0</x:v>
      </x:c>
      <x:c r="R124" s="21" t="n">
        <x:f>P124/L124</x:f>
        <x:v>0.999</x:v>
      </x:c>
      <x:c r="S124" s="18" t="str">
        <x:v>iteration_limit</x:v>
      </x:c>
      <x:c r="T124" s="22" t="b">
        <x:v>0</x:v>
      </x:c>
      <x:c r="U124" s="19" t="n">
        <x:v>0</x:v>
      </x:c>
      <x:c r="V124" s="19" t="n">
        <x:v>0</x:v>
      </x:c>
      <x:c r="W124" s="19" t="n">
        <x:v>0</x:v>
      </x:c>
      <x:c r="X124" s="22" t="b">
        <x:v>0</x:v>
      </x:c>
      <x:c r="Y124" s="20" t="n">
        <x:v>0</x:v>
      </x:c>
      <x:c r="Z124" s="20" t="n">
        <x:v>0</x:v>
      </x:c>
      <x:c r="AA124" s="20" t="n">
        <x:v>0</x:v>
      </x:c>
      <x:c r="AB124" s="20" t="n">
        <x:v>9.470097</x:v>
      </x:c>
      <x:c r="AC124" s="20" t="n">
        <x:v>5</x:v>
      </x:c>
      <x:c r="AD124" s="20" t="n">
        <x:v>896.598704</x:v>
      </x:c>
      <x:c r="AE124" s="20" t="n">
        <x:v>929.342963</x:v>
      </x:c>
      <x:c r="AF124" s="18" t="str">
        <x:v>{"random_removal": 1.0, "related_removal": 1.0, "worst_removal": 1.0}</x:v>
      </x:c>
      <x:c r="AG124" s="18" t="str">
        <x:v>{"greedy_insertion": 1.0, "regret_2_insertion": 1.0}</x:v>
      </x:c>
      <x:c r="AH124" s="18" t="str">
        <x:v>[["D0", "C8", "C10", "S1", "C84", "C16", "S7", "C25", "S0", "C96", "S15", "C57", "S13", "C6", "C30", "C24", "D0"]]</x:v>
      </x:c>
    </x:row>
    <x:row r="125">
      <x:c r="A125" s="18" t="str">
        <x:v>results/week6/ablation_no_adaptive/alns_evrptw_summary.csv</x:v>
      </x:c>
      <x:c r="B125" s="18" t="str">
        <x:v>No_Adaptive</x:v>
      </x:c>
      <x:c r="C125" s="18" t="str">
        <x:v>ALNS_EVRPTW_FULL_RECHARGE</x:v>
      </x:c>
      <x:c r="D125" s="18" t="str">
        <x:v>c202C15</x:v>
      </x:c>
      <x:c r="E125" s="19" t="n">
        <x:v>64</x:v>
      </x:c>
      <x:c r="F125" s="18" t="str">
        <x:v>C</x:v>
      </x:c>
      <x:c r="G125" s="19" t="n">
        <x:v>15</x:v>
      </x:c>
      <x:c r="H125" s="18" t="n">
        <x:v>1</x:v>
      </x:c>
      <x:c r="I125" s="19" t="n">
        <x:v>3</x:v>
      </x:c>
      <x:c r="J125" s="20" t="n">
        <x:v>376.789292</x:v>
      </x:c>
      <x:c r="K125" s="20" t="n">
        <x:v>87.566724</x:v>
      </x:c>
      <x:c r="L125" s="19" t="n">
        <x:v>1000</x:v>
      </x:c>
      <x:c r="M125" s="19" t="n">
        <x:v>12</x:v>
      </x:c>
      <x:c r="N125" s="19" t="n">
        <x:v>995</x:v>
      </x:c>
      <x:c r="O125" s="19" t="n">
        <x:v>3</x:v>
      </x:c>
      <x:c r="P125" s="19" t="n">
        <x:v>991</x:v>
      </x:c>
      <x:c r="Q125" s="19" t="n">
        <x:v>1</x:v>
      </x:c>
      <x:c r="R125" s="21" t="n">
        <x:f>P125/L125</x:f>
        <x:v>0.991</x:v>
      </x:c>
      <x:c r="S125" s="18" t="str">
        <x:v>iteration_limit</x:v>
      </x:c>
      <x:c r="T125" s="22" t="b">
        <x:v>0</x:v>
      </x:c>
      <x:c r="U125" s="19" t="n">
        <x:v>0</x:v>
      </x:c>
      <x:c r="V125" s="19" t="n">
        <x:v>0</x:v>
      </x:c>
      <x:c r="W125" s="19" t="n">
        <x:v>0</x:v>
      </x:c>
      <x:c r="X125" s="22" t="b">
        <x:v>0</x:v>
      </x:c>
      <x:c r="Y125" s="20" t="n">
        <x:v>0</x:v>
      </x:c>
      <x:c r="Z125" s="20" t="n">
        <x:v>0</x:v>
      </x:c>
      <x:c r="AA125" s="20" t="n">
        <x:v>0</x:v>
      </x:c>
      <x:c r="AB125" s="20" t="n">
        <x:v>2.561272</x:v>
      </x:c>
      <x:c r="AC125" s="20" t="n">
        <x:v>4</x:v>
      </x:c>
      <x:c r="AD125" s="20" t="n">
        <x:v>837.958612</x:v>
      </x:c>
      <x:c r="AE125" s="20" t="n">
        <x:v>3581.510807</x:v>
      </x:c>
      <x:c r="AF125" s="18" t="str">
        <x:v>{"random_removal": 1.0, "related_removal": 1.0, "worst_removal": 1.0}</x:v>
      </x:c>
      <x:c r="AG125" s="18" t="str">
        <x:v>{"greedy_insertion": 1.0, "regret_2_insertion": 1.0}</x:v>
      </x:c>
      <x:c r="AH125" s="18" t="str">
        <x:v>[["D0", "C43", "C51", "C58", "S15", "C41", "D0"], ["D0", "C10", "C3", "C82", "S1", "C76", "C73", "S19", "C87", "C63", "D0"], ["D0", "C99", "S5", "C17", "C23", "C27", "D0"]]</x:v>
      </x:c>
    </x:row>
    <x:row r="126">
      <x:c r="A126" s="18" t="str">
        <x:v>results/week6/ablation_no_adaptive/alns_evrptw_summary.csv</x:v>
      </x:c>
      <x:c r="B126" s="18" t="str">
        <x:v>No_Adaptive</x:v>
      </x:c>
      <x:c r="C126" s="18" t="str">
        <x:v>ALNS_EVRPTW_FULL_RECHARGE</x:v>
      </x:c>
      <x:c r="D126" s="18" t="str">
        <x:v>c202C15</x:v>
      </x:c>
      <x:c r="E126" s="19" t="n">
        <x:v>65</x:v>
      </x:c>
      <x:c r="F126" s="18" t="str">
        <x:v>C</x:v>
      </x:c>
      <x:c r="G126" s="19" t="n">
        <x:v>15</x:v>
      </x:c>
      <x:c r="H126" s="18" t="n">
        <x:v>1</x:v>
      </x:c>
      <x:c r="I126" s="19" t="n">
        <x:v>3</x:v>
      </x:c>
      <x:c r="J126" s="20" t="n">
        <x:v>376.789292</x:v>
      </x:c>
      <x:c r="K126" s="20" t="n">
        <x:v>89.328986</x:v>
      </x:c>
      <x:c r="L126" s="19" t="n">
        <x:v>1000</x:v>
      </x:c>
      <x:c r="M126" s="19" t="n">
        <x:v>4</x:v>
      </x:c>
      <x:c r="N126" s="19" t="n">
        <x:v>992</x:v>
      </x:c>
      <x:c r="O126" s="19" t="n">
        <x:v>7</x:v>
      </x:c>
      <x:c r="P126" s="19" t="n">
        <x:v>980</x:v>
      </x:c>
      <x:c r="Q126" s="19" t="n">
        <x:v>5</x:v>
      </x:c>
      <x:c r="R126" s="21" t="n">
        <x:f>P126/L126</x:f>
        <x:v>0.98</x:v>
      </x:c>
      <x:c r="S126" s="18" t="str">
        <x:v>iteration_limit</x:v>
      </x:c>
      <x:c r="T126" s="22" t="b">
        <x:v>0</x:v>
      </x:c>
      <x:c r="U126" s="19" t="n">
        <x:v>0</x:v>
      </x:c>
      <x:c r="V126" s="19" t="n">
        <x:v>0</x:v>
      </x:c>
      <x:c r="W126" s="19" t="n">
        <x:v>0</x:v>
      </x:c>
      <x:c r="X126" s="22" t="b">
        <x:v>0</x:v>
      </x:c>
      <x:c r="Y126" s="20" t="n">
        <x:v>0</x:v>
      </x:c>
      <x:c r="Z126" s="20" t="n">
        <x:v>0</x:v>
      </x:c>
      <x:c r="AA126" s="20" t="n">
        <x:v>0</x:v>
      </x:c>
      <x:c r="AB126" s="20" t="n">
        <x:v>2.561272</x:v>
      </x:c>
      <x:c r="AC126" s="20" t="n">
        <x:v>4</x:v>
      </x:c>
      <x:c r="AD126" s="20" t="n">
        <x:v>837.958612</x:v>
      </x:c>
      <x:c r="AE126" s="20" t="n">
        <x:v>3581.510807</x:v>
      </x:c>
      <x:c r="AF126" s="18" t="str">
        <x:v>{"random_removal": 1.0, "related_removal": 1.0, "worst_removal": 1.0}</x:v>
      </x:c>
      <x:c r="AG126" s="18" t="str">
        <x:v>{"greedy_insertion": 1.0, "regret_2_insertion": 1.0}</x:v>
      </x:c>
      <x:c r="AH126" s="18" t="str">
        <x:v>[["D0", "C43", "C51", "C58", "S15", "C41", "D0"], ["D0", "C10", "C3", "C82", "S1", "C76", "C73", "S19", "C87", "C63", "D0"], ["D0", "C99", "S5", "C17", "C23", "C27", "D0"]]</x:v>
      </x:c>
    </x:row>
    <x:row r="127">
      <x:c r="A127" s="18" t="str">
        <x:v>results/week6/ablation_no_adaptive/alns_evrptw_summary.csv</x:v>
      </x:c>
      <x:c r="B127" s="18" t="str">
        <x:v>No_Adaptive</x:v>
      </x:c>
      <x:c r="C127" s="18" t="str">
        <x:v>ALNS_EVRPTW_FULL_RECHARGE</x:v>
      </x:c>
      <x:c r="D127" s="18" t="str">
        <x:v>c202C15</x:v>
      </x:c>
      <x:c r="E127" s="19" t="n">
        <x:v>66</x:v>
      </x:c>
      <x:c r="F127" s="18" t="str">
        <x:v>C</x:v>
      </x:c>
      <x:c r="G127" s="19" t="n">
        <x:v>15</x:v>
      </x:c>
      <x:c r="H127" s="18" t="n">
        <x:v>1</x:v>
      </x:c>
      <x:c r="I127" s="19" t="n">
        <x:v>3</x:v>
      </x:c>
      <x:c r="J127" s="20" t="n">
        <x:v>376.789292</x:v>
      </x:c>
      <x:c r="K127" s="20" t="n">
        <x:v>85.993611</x:v>
      </x:c>
      <x:c r="L127" s="19" t="n">
        <x:v>1000</x:v>
      </x:c>
      <x:c r="M127" s="19" t="n">
        <x:v>4</x:v>
      </x:c>
      <x:c r="N127" s="19" t="n">
        <x:v>994</x:v>
      </x:c>
      <x:c r="O127" s="19" t="n">
        <x:v>4</x:v>
      </x:c>
      <x:c r="P127" s="19" t="n">
        <x:v>988</x:v>
      </x:c>
      <x:c r="Q127" s="19" t="n">
        <x:v>2</x:v>
      </x:c>
      <x:c r="R127" s="21" t="n">
        <x:f>P127/L127</x:f>
        <x:v>0.988</x:v>
      </x:c>
      <x:c r="S127" s="18" t="str">
        <x:v>iteration_limit</x:v>
      </x:c>
      <x:c r="T127" s="22" t="b">
        <x:v>0</x:v>
      </x:c>
      <x:c r="U127" s="19" t="n">
        <x:v>0</x:v>
      </x:c>
      <x:c r="V127" s="19" t="n">
        <x:v>0</x:v>
      </x:c>
      <x:c r="W127" s="19" t="n">
        <x:v>0</x:v>
      </x:c>
      <x:c r="X127" s="22" t="b">
        <x:v>0</x:v>
      </x:c>
      <x:c r="Y127" s="20" t="n">
        <x:v>0</x:v>
      </x:c>
      <x:c r="Z127" s="20" t="n">
        <x:v>0</x:v>
      </x:c>
      <x:c r="AA127" s="20" t="n">
        <x:v>0</x:v>
      </x:c>
      <x:c r="AB127" s="20" t="n">
        <x:v>2.561272</x:v>
      </x:c>
      <x:c r="AC127" s="20" t="n">
        <x:v>4</x:v>
      </x:c>
      <x:c r="AD127" s="20" t="n">
        <x:v>837.958612</x:v>
      </x:c>
      <x:c r="AE127" s="20" t="n">
        <x:v>3581.510807</x:v>
      </x:c>
      <x:c r="AF127" s="18" t="str">
        <x:v>{"random_removal": 1.0, "related_removal": 1.0, "worst_removal": 1.0}</x:v>
      </x:c>
      <x:c r="AG127" s="18" t="str">
        <x:v>{"greedy_insertion": 1.0, "regret_2_insertion": 1.0}</x:v>
      </x:c>
      <x:c r="AH127" s="18" t="str">
        <x:v>[["D0", "C43", "C51", "C58", "S15", "C41", "D0"], ["D0", "C10", "C3", "C82", "S1", "C76", "C73", "S19", "C87", "C63", "D0"], ["D0", "C99", "S5", "C17", "C23", "C27", "D0"]]</x:v>
      </x:c>
    </x:row>
    <x:row r="128">
      <x:c r="A128" s="18" t="str">
        <x:v>results/week6/ablation_no_adaptive/alns_evrptw_summary.csv</x:v>
      </x:c>
      <x:c r="B128" s="18" t="str">
        <x:v>No_Adaptive</x:v>
      </x:c>
      <x:c r="C128" s="18" t="str">
        <x:v>ALNS_EVRPTW_FULL_RECHARGE</x:v>
      </x:c>
      <x:c r="D128" s="18" t="str">
        <x:v>r105C5</x:v>
      </x:c>
      <x:c r="E128" s="19" t="n">
        <x:v>64</x:v>
      </x:c>
      <x:c r="F128" s="18" t="str">
        <x:v>R</x:v>
      </x:c>
      <x:c r="G128" s="19" t="n">
        <x:v>5</x:v>
      </x:c>
      <x:c r="H128" s="18" t="n">
        <x:v>1</x:v>
      </x:c>
      <x:c r="I128" s="19" t="n">
        <x:v>2</x:v>
      </x:c>
      <x:c r="J128" s="20" t="n">
        <x:v>156.082069</x:v>
      </x:c>
      <x:c r="K128" s="20" t="n">
        <x:v>0.906833</x:v>
      </x:c>
      <x:c r="L128" s="19" t="n">
        <x:v>1000</x:v>
      </x:c>
      <x:c r="M128" s="19" t="n">
        <x:v>0</x:v>
      </x:c>
      <x:c r="N128" s="19" t="n">
        <x:v>1000</x:v>
      </x:c>
      <x:c r="O128" s="19" t="n">
        <x:v>0</x:v>
      </x:c>
      <x:c r="P128" s="19" t="n">
        <x:v>1000</x:v>
      </x:c>
      <x:c r="Q128" s="19" t="n">
        <x:v>0</x:v>
      </x:c>
      <x:c r="R128" s="21" t="n">
        <x:f>P128/L128</x:f>
        <x:v>1</x:v>
      </x:c>
      <x:c r="S128" s="18" t="str">
        <x:v>iteration_limit</x:v>
      </x:c>
      <x:c r="T128" s="22" t="b">
        <x:v>0</x:v>
      </x:c>
      <x:c r="U128" s="19" t="n">
        <x:v>0</x:v>
      </x:c>
      <x:c r="V128" s="19" t="n">
        <x:v>0</x:v>
      </x:c>
      <x:c r="W128" s="19" t="n">
        <x:v>0</x:v>
      </x:c>
      <x:c r="X128" s="22" t="b">
        <x:v>0</x:v>
      </x:c>
      <x:c r="Y128" s="20" t="n">
        <x:v>0</x:v>
      </x:c>
      <x:c r="Z128" s="20" t="n">
        <x:v>0</x:v>
      </x:c>
      <x:c r="AA128" s="20" t="n">
        <x:v>0</x:v>
      </x:c>
      <x:c r="AB128" s="20" t="n">
        <x:v>2.82845</x:v>
      </x:c>
      <x:c r="AC128" s="20" t="n">
        <x:v>1</x:v>
      </x:c>
      <x:c r="AD128" s="20" t="n">
        <x:v>28.32276</x:v>
      </x:c>
      <x:c r="AE128" s="20" t="n">
        <x:v>129.785795</x:v>
      </x:c>
      <x:c r="AF128" s="18" t="str">
        <x:v>{"random_removal": 1.0, "related_removal": 1.0, "worst_removal": 1.0}</x:v>
      </x:c>
      <x:c r="AG128" s="18" t="str">
        <x:v>{"greedy_insertion": 1.0, "regret_2_insertion": 1.0}</x:v>
      </x:c>
      <x:c r="AH128" s="18" t="str">
        <x:v>[["D0", "C75", "S1", "C78", "C28", "D0"], ["D0", "C91", "C95", "D0"]]</x:v>
      </x:c>
    </x:row>
    <x:row r="129">
      <x:c r="A129" s="18" t="str">
        <x:v>results/week6/ablation_no_adaptive/alns_evrptw_summary.csv</x:v>
      </x:c>
      <x:c r="B129" s="18" t="str">
        <x:v>No_Adaptive</x:v>
      </x:c>
      <x:c r="C129" s="18" t="str">
        <x:v>ALNS_EVRPTW_FULL_RECHARGE</x:v>
      </x:c>
      <x:c r="D129" s="18" t="str">
        <x:v>r105C5</x:v>
      </x:c>
      <x:c r="E129" s="19" t="n">
        <x:v>65</x:v>
      </x:c>
      <x:c r="F129" s="18" t="str">
        <x:v>R</x:v>
      </x:c>
      <x:c r="G129" s="19" t="n">
        <x:v>5</x:v>
      </x:c>
      <x:c r="H129" s="18" t="n">
        <x:v>1</x:v>
      </x:c>
      <x:c r="I129" s="19" t="n">
        <x:v>2</x:v>
      </x:c>
      <x:c r="J129" s="20" t="n">
        <x:v>156.082069</x:v>
      </x:c>
      <x:c r="K129" s="20" t="n">
        <x:v>0.906863</x:v>
      </x:c>
      <x:c r="L129" s="19" t="n">
        <x:v>1000</x:v>
      </x:c>
      <x:c r="M129" s="19" t="n">
        <x:v>0</x:v>
      </x:c>
      <x:c r="N129" s="19" t="n">
        <x:v>1000</x:v>
      </x:c>
      <x:c r="O129" s="19" t="n">
        <x:v>0</x:v>
      </x:c>
      <x:c r="P129" s="19" t="n">
        <x:v>1000</x:v>
      </x:c>
      <x:c r="Q129" s="19" t="n">
        <x:v>0</x:v>
      </x:c>
      <x:c r="R129" s="21" t="n">
        <x:f>P129/L129</x:f>
        <x:v>1</x:v>
      </x:c>
      <x:c r="S129" s="18" t="str">
        <x:v>iteration_limit</x:v>
      </x:c>
      <x:c r="T129" s="22" t="b">
        <x:v>0</x:v>
      </x:c>
      <x:c r="U129" s="19" t="n">
        <x:v>0</x:v>
      </x:c>
      <x:c r="V129" s="19" t="n">
        <x:v>0</x:v>
      </x:c>
      <x:c r="W129" s="19" t="n">
        <x:v>0</x:v>
      </x:c>
      <x:c r="X129" s="22" t="b">
        <x:v>0</x:v>
      </x:c>
      <x:c r="Y129" s="20" t="n">
        <x:v>0</x:v>
      </x:c>
      <x:c r="Z129" s="20" t="n">
        <x:v>0</x:v>
      </x:c>
      <x:c r="AA129" s="20" t="n">
        <x:v>0</x:v>
      </x:c>
      <x:c r="AB129" s="20" t="n">
        <x:v>2.82845</x:v>
      </x:c>
      <x:c r="AC129" s="20" t="n">
        <x:v>1</x:v>
      </x:c>
      <x:c r="AD129" s="20" t="n">
        <x:v>28.32276</x:v>
      </x:c>
      <x:c r="AE129" s="20" t="n">
        <x:v>129.785795</x:v>
      </x:c>
      <x:c r="AF129" s="18" t="str">
        <x:v>{"random_removal": 1.0, "related_removal": 1.0, "worst_removal": 1.0}</x:v>
      </x:c>
      <x:c r="AG129" s="18" t="str">
        <x:v>{"greedy_insertion": 1.0, "regret_2_insertion": 1.0}</x:v>
      </x:c>
      <x:c r="AH129" s="18" t="str">
        <x:v>[["D0", "C75", "S1", "C78", "C28", "D0"], ["D0", "C91", "C95", "D0"]]</x:v>
      </x:c>
    </x:row>
    <x:row r="130">
      <x:c r="A130" s="18" t="str">
        <x:v>results/week6/ablation_no_adaptive/alns_evrptw_summary.csv</x:v>
      </x:c>
      <x:c r="B130" s="18" t="str">
        <x:v>No_Adaptive</x:v>
      </x:c>
      <x:c r="C130" s="18" t="str">
        <x:v>ALNS_EVRPTW_FULL_RECHARGE</x:v>
      </x:c>
      <x:c r="D130" s="18" t="str">
        <x:v>r105C5</x:v>
      </x:c>
      <x:c r="E130" s="19" t="n">
        <x:v>66</x:v>
      </x:c>
      <x:c r="F130" s="18" t="str">
        <x:v>R</x:v>
      </x:c>
      <x:c r="G130" s="19" t="n">
        <x:v>5</x:v>
      </x:c>
      <x:c r="H130" s="18" t="n">
        <x:v>1</x:v>
      </x:c>
      <x:c r="I130" s="19" t="n">
        <x:v>2</x:v>
      </x:c>
      <x:c r="J130" s="20" t="n">
        <x:v>156.082069</x:v>
      </x:c>
      <x:c r="K130" s="20" t="n">
        <x:v>0.844278</x:v>
      </x:c>
      <x:c r="L130" s="19" t="n">
        <x:v>1000</x:v>
      </x:c>
      <x:c r="M130" s="19" t="n">
        <x:v>0</x:v>
      </x:c>
      <x:c r="N130" s="19" t="n">
        <x:v>1000</x:v>
      </x:c>
      <x:c r="O130" s="19" t="n">
        <x:v>0</x:v>
      </x:c>
      <x:c r="P130" s="19" t="n">
        <x:v>1000</x:v>
      </x:c>
      <x:c r="Q130" s="19" t="n">
        <x:v>0</x:v>
      </x:c>
      <x:c r="R130" s="21" t="n">
        <x:f>P130/L130</x:f>
        <x:v>1</x:v>
      </x:c>
      <x:c r="S130" s="18" t="str">
        <x:v>iteration_limit</x:v>
      </x:c>
      <x:c r="T130" s="22" t="b">
        <x:v>0</x:v>
      </x:c>
      <x:c r="U130" s="19" t="n">
        <x:v>0</x:v>
      </x:c>
      <x:c r="V130" s="19" t="n">
        <x:v>0</x:v>
      </x:c>
      <x:c r="W130" s="19" t="n">
        <x:v>0</x:v>
      </x:c>
      <x:c r="X130" s="22" t="b">
        <x:v>0</x:v>
      </x:c>
      <x:c r="Y130" s="20" t="n">
        <x:v>0</x:v>
      </x:c>
      <x:c r="Z130" s="20" t="n">
        <x:v>0</x:v>
      </x:c>
      <x:c r="AA130" s="20" t="n">
        <x:v>0</x:v>
      </x:c>
      <x:c r="AB130" s="20" t="n">
        <x:v>2.82845</x:v>
      </x:c>
      <x:c r="AC130" s="20" t="n">
        <x:v>1</x:v>
      </x:c>
      <x:c r="AD130" s="20" t="n">
        <x:v>28.32276</x:v>
      </x:c>
      <x:c r="AE130" s="20" t="n">
        <x:v>129.785795</x:v>
      </x:c>
      <x:c r="AF130" s="18" t="str">
        <x:v>{"random_removal": 1.0, "related_removal": 1.0, "worst_removal": 1.0}</x:v>
      </x:c>
      <x:c r="AG130" s="18" t="str">
        <x:v>{"greedy_insertion": 1.0, "regret_2_insertion": 1.0}</x:v>
      </x:c>
      <x:c r="AH130" s="18" t="str">
        <x:v>[["D0", "C75", "S1", "C78", "C28", "D0"], ["D0", "C91", "C95", "D0"]]</x:v>
      </x:c>
    </x:row>
    <x:row r="131">
      <x:c r="A131" s="18" t="str">
        <x:v>results/week6/ablation_no_adaptive/alns_evrptw_summary.csv</x:v>
      </x:c>
      <x:c r="B131" s="18" t="str">
        <x:v>No_Adaptive</x:v>
      </x:c>
      <x:c r="C131" s="18" t="str">
        <x:v>ALNS_EVRPTW_FULL_RECHARGE</x:v>
      </x:c>
      <x:c r="D131" s="18" t="str">
        <x:v>r103C10</x:v>
      </x:c>
      <x:c r="E131" s="19" t="n">
        <x:v>64</x:v>
      </x:c>
      <x:c r="F131" s="18" t="str">
        <x:v>R</x:v>
      </x:c>
      <x:c r="G131" s="19" t="n">
        <x:v>10</x:v>
      </x:c>
      <x:c r="H131" s="18" t="n">
        <x:v>1</x:v>
      </x:c>
      <x:c r="I131" s="19" t="n">
        <x:v>2</x:v>
      </x:c>
      <x:c r="J131" s="20" t="n">
        <x:v>207.051154</x:v>
      </x:c>
      <x:c r="K131" s="20" t="n">
        <x:v>12.76843</x:v>
      </x:c>
      <x:c r="L131" s="19" t="n">
        <x:v>1000</x:v>
      </x:c>
      <x:c r="M131" s="19" t="n">
        <x:v>3</x:v>
      </x:c>
      <x:c r="N131" s="19" t="n">
        <x:v>971</x:v>
      </x:c>
      <x:c r="O131" s="19" t="n">
        <x:v>38</x:v>
      </x:c>
      <x:c r="P131" s="19" t="n">
        <x:v>897</x:v>
      </x:c>
      <x:c r="Q131" s="19" t="n">
        <x:v>36</x:v>
      </x:c>
      <x:c r="R131" s="21" t="n">
        <x:f>P131/L131</x:f>
        <x:v>0.897</x:v>
      </x:c>
      <x:c r="S131" s="18" t="str">
        <x:v>iteration_limit</x:v>
      </x:c>
      <x:c r="T131" s="22" t="b">
        <x:v>0</x:v>
      </x:c>
      <x:c r="U131" s="19" t="n">
        <x:v>0</x:v>
      </x:c>
      <x:c r="V131" s="19" t="n">
        <x:v>0</x:v>
      </x:c>
      <x:c r="W131" s="19" t="n">
        <x:v>0</x:v>
      </x:c>
      <x:c r="X131" s="22" t="b">
        <x:v>0</x:v>
      </x:c>
      <x:c r="Y131" s="20" t="n">
        <x:v>0</x:v>
      </x:c>
      <x:c r="Z131" s="20" t="n">
        <x:v>0</x:v>
      </x:c>
      <x:c r="AA131" s="20" t="n">
        <x:v>0</x:v>
      </x:c>
      <x:c r="AB131" s="20" t="n">
        <x:v>0.425419</x:v>
      </x:c>
      <x:c r="AC131" s="20" t="n">
        <x:v>3</x:v>
      </x:c>
      <x:c r="AD131" s="20" t="n">
        <x:v>49.247992</x:v>
      </x:c>
      <x:c r="AE131" s="20" t="n">
        <x:v>58.548169</x:v>
      </x:c>
      <x:c r="AF131" s="18" t="str">
        <x:v>{"random_removal": 1.0, "related_removal": 1.0, "worst_removal": 1.0}</x:v>
      </x:c>
      <x:c r="AG131" s="18" t="str">
        <x:v>{"greedy_insertion": 1.0, "regret_2_insertion": 1.0}</x:v>
      </x:c>
      <x:c r="AH131" s="18" t="str">
        <x:v>[["D0", "C26", "C53", "C16", "C91", "S13", "S0", "C81", "D0"], ["D0", "C18", "S9", "C45", "C84", "C83", "C27", "D0"]]</x:v>
      </x:c>
    </x:row>
    <x:row r="132">
      <x:c r="A132" s="18" t="str">
        <x:v>results/week6/ablation_no_adaptive/alns_evrptw_summary.csv</x:v>
      </x:c>
      <x:c r="B132" s="18" t="str">
        <x:v>No_Adaptive</x:v>
      </x:c>
      <x:c r="C132" s="18" t="str">
        <x:v>ALNS_EVRPTW_FULL_RECHARGE</x:v>
      </x:c>
      <x:c r="D132" s="18" t="str">
        <x:v>r103C10</x:v>
      </x:c>
      <x:c r="E132" s="19" t="n">
        <x:v>65</x:v>
      </x:c>
      <x:c r="F132" s="18" t="str">
        <x:v>R</x:v>
      </x:c>
      <x:c r="G132" s="19" t="n">
        <x:v>10</x:v>
      </x:c>
      <x:c r="H132" s="18" t="n">
        <x:v>1</x:v>
      </x:c>
      <x:c r="I132" s="19" t="n">
        <x:v>2</x:v>
      </x:c>
      <x:c r="J132" s="20" t="n">
        <x:v>207.051154</x:v>
      </x:c>
      <x:c r="K132" s="20" t="n">
        <x:v>12.42141</x:v>
      </x:c>
      <x:c r="L132" s="19" t="n">
        <x:v>1000</x:v>
      </x:c>
      <x:c r="M132" s="19" t="n">
        <x:v>1</x:v>
      </x:c>
      <x:c r="N132" s="19" t="n">
        <x:v>969</x:v>
      </x:c>
      <x:c r="O132" s="19" t="n">
        <x:v>24</x:v>
      </x:c>
      <x:c r="P132" s="19" t="n">
        <x:v>922</x:v>
      </x:c>
      <x:c r="Q132" s="19" t="n">
        <x:v>23</x:v>
      </x:c>
      <x:c r="R132" s="21" t="n">
        <x:f>P132/L132</x:f>
        <x:v>0.922</x:v>
      </x:c>
      <x:c r="S132" s="18" t="str">
        <x:v>iteration_limit</x:v>
      </x:c>
      <x:c r="T132" s="22" t="b">
        <x:v>0</x:v>
      </x:c>
      <x:c r="U132" s="19" t="n">
        <x:v>0</x:v>
      </x:c>
      <x:c r="V132" s="19" t="n">
        <x:v>0</x:v>
      </x:c>
      <x:c r="W132" s="19" t="n">
        <x:v>0</x:v>
      </x:c>
      <x:c r="X132" s="22" t="b">
        <x:v>0</x:v>
      </x:c>
      <x:c r="Y132" s="20" t="n">
        <x:v>0</x:v>
      </x:c>
      <x:c r="Z132" s="20" t="n">
        <x:v>0</x:v>
      </x:c>
      <x:c r="AA132" s="20" t="n">
        <x:v>0</x:v>
      </x:c>
      <x:c r="AB132" s="20" t="n">
        <x:v>0.425419</x:v>
      </x:c>
      <x:c r="AC132" s="20" t="n">
        <x:v>3</x:v>
      </x:c>
      <x:c r="AD132" s="20" t="n">
        <x:v>49.247992</x:v>
      </x:c>
      <x:c r="AE132" s="20" t="n">
        <x:v>58.548169</x:v>
      </x:c>
      <x:c r="AF132" s="18" t="str">
        <x:v>{"random_removal": 1.0, "related_removal": 1.0, "worst_removal": 1.0}</x:v>
      </x:c>
      <x:c r="AG132" s="18" t="str">
        <x:v>{"greedy_insertion": 1.0, "regret_2_insertion": 1.0}</x:v>
      </x:c>
      <x:c r="AH132" s="18" t="str">
        <x:v>[["D0", "C26", "C53", "C16", "C91", "S13", "S0", "C81", "D0"], ["D0", "C18", "S9", "C45", "C84", "C83", "C27", "D0"]]</x:v>
      </x:c>
    </x:row>
    <x:row r="133">
      <x:c r="A133" s="18" t="str">
        <x:v>results/week6/ablation_no_adaptive/alns_evrptw_summary.csv</x:v>
      </x:c>
      <x:c r="B133" s="18" t="str">
        <x:v>No_Adaptive</x:v>
      </x:c>
      <x:c r="C133" s="18" t="str">
        <x:v>ALNS_EVRPTW_FULL_RECHARGE</x:v>
      </x:c>
      <x:c r="D133" s="18" t="str">
        <x:v>r103C10</x:v>
      </x:c>
      <x:c r="E133" s="19" t="n">
        <x:v>66</x:v>
      </x:c>
      <x:c r="F133" s="18" t="str">
        <x:v>R</x:v>
      </x:c>
      <x:c r="G133" s="19" t="n">
        <x:v>10</x:v>
      </x:c>
      <x:c r="H133" s="18" t="n">
        <x:v>1</x:v>
      </x:c>
      <x:c r="I133" s="19" t="n">
        <x:v>2</x:v>
      </x:c>
      <x:c r="J133" s="20" t="n">
        <x:v>207.051154</x:v>
      </x:c>
      <x:c r="K133" s="20" t="n">
        <x:v>12.652508</x:v>
      </x:c>
      <x:c r="L133" s="19" t="n">
        <x:v>1000</x:v>
      </x:c>
      <x:c r="M133" s="19" t="n">
        <x:v>4</x:v>
      </x:c>
      <x:c r="N133" s="19" t="n">
        <x:v>967</x:v>
      </x:c>
      <x:c r="O133" s="19" t="n">
        <x:v>15</x:v>
      </x:c>
      <x:c r="P133" s="19" t="n">
        <x:v>938</x:v>
      </x:c>
      <x:c r="Q133" s="19" t="n">
        <x:v>14</x:v>
      </x:c>
      <x:c r="R133" s="21" t="n">
        <x:f>P133/L133</x:f>
        <x:v>0.938</x:v>
      </x:c>
      <x:c r="S133" s="18" t="str">
        <x:v>iteration_limit</x:v>
      </x:c>
      <x:c r="T133" s="22" t="b">
        <x:v>0</x:v>
      </x:c>
      <x:c r="U133" s="19" t="n">
        <x:v>0</x:v>
      </x:c>
      <x:c r="V133" s="19" t="n">
        <x:v>0</x:v>
      </x:c>
      <x:c r="W133" s="19" t="n">
        <x:v>0</x:v>
      </x:c>
      <x:c r="X133" s="22" t="b">
        <x:v>0</x:v>
      </x:c>
      <x:c r="Y133" s="20" t="n">
        <x:v>0</x:v>
      </x:c>
      <x:c r="Z133" s="20" t="n">
        <x:v>0</x:v>
      </x:c>
      <x:c r="AA133" s="20" t="n">
        <x:v>0</x:v>
      </x:c>
      <x:c r="AB133" s="20" t="n">
        <x:v>0.425419</x:v>
      </x:c>
      <x:c r="AC133" s="20" t="n">
        <x:v>3</x:v>
      </x:c>
      <x:c r="AD133" s="20" t="n">
        <x:v>49.247992</x:v>
      </x:c>
      <x:c r="AE133" s="20" t="n">
        <x:v>58.548169</x:v>
      </x:c>
      <x:c r="AF133" s="18" t="str">
        <x:v>{"random_removal": 1.0, "related_removal": 1.0, "worst_removal": 1.0}</x:v>
      </x:c>
      <x:c r="AG133" s="18" t="str">
        <x:v>{"greedy_insertion": 1.0, "regret_2_insertion": 1.0}</x:v>
      </x:c>
      <x:c r="AH133" s="18" t="str">
        <x:v>[["D0", "C26", "C53", "C16", "C91", "S13", "S0", "C81", "D0"], ["D0", "C18", "S9", "C45", "C84", "C83", "C27", "D0"]]</x:v>
      </x:c>
    </x:row>
    <x:row r="134">
      <x:c r="A134" s="18" t="str">
        <x:v>results/week6/ablation_no_adaptive/alns_evrptw_summary.csv</x:v>
      </x:c>
      <x:c r="B134" s="18" t="str">
        <x:v>No_Adaptive</x:v>
      </x:c>
      <x:c r="C134" s="18" t="str">
        <x:v>ALNS_EVRPTW_FULL_RECHARGE</x:v>
      </x:c>
      <x:c r="D134" s="18" t="str">
        <x:v>r105C15</x:v>
      </x:c>
      <x:c r="E134" s="19" t="n">
        <x:v>64</x:v>
      </x:c>
      <x:c r="F134" s="18" t="str">
        <x:v>R</x:v>
      </x:c>
      <x:c r="G134" s="19" t="n">
        <x:v>15</x:v>
      </x:c>
      <x:c r="H134" s="18" t="n">
        <x:v>1</x:v>
      </x:c>
      <x:c r="I134" s="19" t="n">
        <x:v>4</x:v>
      </x:c>
      <x:c r="J134" s="20" t="n">
        <x:v>336.153602</x:v>
      </x:c>
      <x:c r="K134" s="20" t="n">
        <x:v>51.922692</x:v>
      </x:c>
      <x:c r="L134" s="19" t="n">
        <x:v>1000</x:v>
      </x:c>
      <x:c r="M134" s="19" t="n">
        <x:v>114</x:v>
      </x:c>
      <x:c r="N134" s="19" t="n">
        <x:v>997</x:v>
      </x:c>
      <x:c r="O134" s="19" t="n">
        <x:v>6</x:v>
      </x:c>
      <x:c r="P134" s="19" t="n">
        <x:v>989</x:v>
      </x:c>
      <x:c r="Q134" s="19" t="n">
        <x:v>2</x:v>
      </x:c>
      <x:c r="R134" s="21" t="n">
        <x:f>P134/L134</x:f>
        <x:v>0.989</x:v>
      </x:c>
      <x:c r="S134" s="18" t="str">
        <x:v>iteration_limit</x:v>
      </x:c>
      <x:c r="T134" s="22" t="b">
        <x:v>0</x:v>
      </x:c>
      <x:c r="U134" s="19" t="n">
        <x:v>0</x:v>
      </x:c>
      <x:c r="V134" s="19" t="n">
        <x:v>0</x:v>
      </x:c>
      <x:c r="W134" s="19" t="n">
        <x:v>0</x:v>
      </x:c>
      <x:c r="X134" s="22" t="b">
        <x:v>0</x:v>
      </x:c>
      <x:c r="Y134" s="20" t="n">
        <x:v>0</x:v>
      </x:c>
      <x:c r="Z134" s="20" t="n">
        <x:v>0</x:v>
      </x:c>
      <x:c r="AA134" s="20" t="n">
        <x:v>0</x:v>
      </x:c>
      <x:c r="AB134" s="20" t="n">
        <x:v>1.851332</x:v>
      </x:c>
      <x:c r="AC134" s="20" t="n">
        <x:v>4</x:v>
      </x:c>
      <x:c r="AD134" s="20" t="n">
        <x:v>80.684092</x:v>
      </x:c>
      <x:c r="AE134" s="20" t="n">
        <x:v>214.082303</x:v>
      </x:c>
      <x:c r="AF134" s="18" t="str">
        <x:v>{"random_removal": 1.0, "related_removal": 1.0, "worst_removal": 1.0}</x:v>
      </x:c>
      <x:c r="AG134" s="18" t="str">
        <x:v>{"greedy_insertion": 1.0, "regret_2_insertion": 1.0}</x:v>
      </x:c>
      <x:c r="AH134" s="18" t="str">
        <x:v>[["D0", "C8", "C17", "C85", "S13", "C95", "C5", "D0"], ["D0", "C50", "C69", "D0"], ["D0", "C56", "C23", "S17", "C57", "D0"], ["D0", "C70", "S3", "C9", "C29", "S1", "C25", "C28", "D0"]]</x:v>
      </x:c>
    </x:row>
    <x:row r="135">
      <x:c r="A135" s="18" t="str">
        <x:v>results/week6/ablation_no_adaptive/alns_evrptw_summary.csv</x:v>
      </x:c>
      <x:c r="B135" s="18" t="str">
        <x:v>No_Adaptive</x:v>
      </x:c>
      <x:c r="C135" s="18" t="str">
        <x:v>ALNS_EVRPTW_FULL_RECHARGE</x:v>
      </x:c>
      <x:c r="D135" s="18" t="str">
        <x:v>r105C15</x:v>
      </x:c>
      <x:c r="E135" s="19" t="n">
        <x:v>65</x:v>
      </x:c>
      <x:c r="F135" s="18" t="str">
        <x:v>R</x:v>
      </x:c>
      <x:c r="G135" s="19" t="n">
        <x:v>15</x:v>
      </x:c>
      <x:c r="H135" s="18" t="n">
        <x:v>1</x:v>
      </x:c>
      <x:c r="I135" s="19" t="n">
        <x:v>4</x:v>
      </x:c>
      <x:c r="J135" s="20" t="n">
        <x:v>336.153602</x:v>
      </x:c>
      <x:c r="K135" s="20" t="n">
        <x:v>55.253219</x:v>
      </x:c>
      <x:c r="L135" s="19" t="n">
        <x:v>1000</x:v>
      </x:c>
      <x:c r="M135" s="19" t="n">
        <x:v>10</x:v>
      </x:c>
      <x:c r="N135" s="19" t="n">
        <x:v>995</x:v>
      </x:c>
      <x:c r="O135" s="19" t="n">
        <x:v>2</x:v>
      </x:c>
      <x:c r="P135" s="19" t="n">
        <x:v>992</x:v>
      </x:c>
      <x:c r="Q135" s="19" t="n">
        <x:v>1</x:v>
      </x:c>
      <x:c r="R135" s="21" t="n">
        <x:f>P135/L135</x:f>
        <x:v>0.992</x:v>
      </x:c>
      <x:c r="S135" s="18" t="str">
        <x:v>iteration_limit</x:v>
      </x:c>
      <x:c r="T135" s="22" t="b">
        <x:v>0</x:v>
      </x:c>
      <x:c r="U135" s="19" t="n">
        <x:v>0</x:v>
      </x:c>
      <x:c r="V135" s="19" t="n">
        <x:v>0</x:v>
      </x:c>
      <x:c r="W135" s="19" t="n">
        <x:v>0</x:v>
      </x:c>
      <x:c r="X135" s="22" t="b">
        <x:v>0</x:v>
      </x:c>
      <x:c r="Y135" s="20" t="n">
        <x:v>0</x:v>
      </x:c>
      <x:c r="Z135" s="20" t="n">
        <x:v>0</x:v>
      </x:c>
      <x:c r="AA135" s="20" t="n">
        <x:v>0</x:v>
      </x:c>
      <x:c r="AB135" s="20" t="n">
        <x:v>1.851332</x:v>
      </x:c>
      <x:c r="AC135" s="20" t="n">
        <x:v>4</x:v>
      </x:c>
      <x:c r="AD135" s="20" t="n">
        <x:v>80.684092</x:v>
      </x:c>
      <x:c r="AE135" s="20" t="n">
        <x:v>214.082303</x:v>
      </x:c>
      <x:c r="AF135" s="18" t="str">
        <x:v>{"random_removal": 1.0, "related_removal": 1.0, "worst_removal": 1.0}</x:v>
      </x:c>
      <x:c r="AG135" s="18" t="str">
        <x:v>{"greedy_insertion": 1.0, "regret_2_insertion": 1.0}</x:v>
      </x:c>
      <x:c r="AH135" s="18" t="str">
        <x:v>[["D0", "C8", "C17", "C85", "S13", "C95", "C5", "D0"], ["D0", "C70", "S3", "C9", "C29", "S1", "C25", "C28", "D0"], ["D0", "C50", "C69", "D0"], ["D0", "C56", "C23", "S17", "C57", "D0"]]</x:v>
      </x:c>
    </x:row>
    <x:row r="136">
      <x:c r="A136" s="18" t="str">
        <x:v>results/week6/ablation_no_adaptive/alns_evrptw_summary.csv</x:v>
      </x:c>
      <x:c r="B136" s="18" t="str">
        <x:v>No_Adaptive</x:v>
      </x:c>
      <x:c r="C136" s="18" t="str">
        <x:v>ALNS_EVRPTW_FULL_RECHARGE</x:v>
      </x:c>
      <x:c r="D136" s="18" t="str">
        <x:v>r105C15</x:v>
      </x:c>
      <x:c r="E136" s="19" t="n">
        <x:v>66</x:v>
      </x:c>
      <x:c r="F136" s="18" t="str">
        <x:v>R</x:v>
      </x:c>
      <x:c r="G136" s="19" t="n">
        <x:v>15</x:v>
      </x:c>
      <x:c r="H136" s="18" t="n">
        <x:v>1</x:v>
      </x:c>
      <x:c r="I136" s="19" t="n">
        <x:v>4</x:v>
      </x:c>
      <x:c r="J136" s="20" t="n">
        <x:v>336.153602</x:v>
      </x:c>
      <x:c r="K136" s="20" t="n">
        <x:v>54.032684</x:v>
      </x:c>
      <x:c r="L136" s="19" t="n">
        <x:v>1000</x:v>
      </x:c>
      <x:c r="M136" s="19" t="n">
        <x:v>159</x:v>
      </x:c>
      <x:c r="N136" s="19" t="n">
        <x:v>987</x:v>
      </x:c>
      <x:c r="O136" s="19" t="n">
        <x:v>4</x:v>
      </x:c>
      <x:c r="P136" s="19" t="n">
        <x:v>983</x:v>
      </x:c>
      <x:c r="Q136" s="19" t="n">
        <x:v>0</x:v>
      </x:c>
      <x:c r="R136" s="21" t="n">
        <x:f>P136/L136</x:f>
        <x:v>0.983</x:v>
      </x:c>
      <x:c r="S136" s="18" t="str">
        <x:v>iteration_limit</x:v>
      </x:c>
      <x:c r="T136" s="22" t="b">
        <x:v>0</x:v>
      </x:c>
      <x:c r="U136" s="19" t="n">
        <x:v>0</x:v>
      </x:c>
      <x:c r="V136" s="19" t="n">
        <x:v>0</x:v>
      </x:c>
      <x:c r="W136" s="19" t="n">
        <x:v>0</x:v>
      </x:c>
      <x:c r="X136" s="22" t="b">
        <x:v>0</x:v>
      </x:c>
      <x:c r="Y136" s="20" t="n">
        <x:v>0</x:v>
      </x:c>
      <x:c r="Z136" s="20" t="n">
        <x:v>0</x:v>
      </x:c>
      <x:c r="AA136" s="20" t="n">
        <x:v>0</x:v>
      </x:c>
      <x:c r="AB136" s="20" t="n">
        <x:v>1.851332</x:v>
      </x:c>
      <x:c r="AC136" s="20" t="n">
        <x:v>4</x:v>
      </x:c>
      <x:c r="AD136" s="20" t="n">
        <x:v>80.684092</x:v>
      </x:c>
      <x:c r="AE136" s="20" t="n">
        <x:v>214.082303</x:v>
      </x:c>
      <x:c r="AF136" s="18" t="str">
        <x:v>{"random_removal": 1.0, "related_removal": 1.0, "worst_removal": 1.0}</x:v>
      </x:c>
      <x:c r="AG136" s="18" t="str">
        <x:v>{"greedy_insertion": 1.0, "regret_2_insertion": 1.0}</x:v>
      </x:c>
      <x:c r="AH136" s="18" t="str">
        <x:v>[["D0", "C8", "C17", "C85", "S13", "C95", "C5", "D0"], ["D0", "C50", "C69", "D0"], ["D0", "C56", "C23", "S17", "C57", "D0"], ["D0", "C70", "S3", "C9", "C29", "S1", "C25", "C28", "D0"]]</x:v>
      </x:c>
    </x:row>
    <x:row r="137">
      <x:c r="A137" s="18" t="str">
        <x:v>results/week6/ablation_no_adaptive/alns_evrptw_summary.csv</x:v>
      </x:c>
      <x:c r="B137" s="18" t="str">
        <x:v>No_Adaptive</x:v>
      </x:c>
      <x:c r="C137" s="18" t="str">
        <x:v>ALNS_EVRPTW_FULL_RECHARGE</x:v>
      </x:c>
      <x:c r="D137" s="18" t="str">
        <x:v>r202C5</x:v>
      </x:c>
      <x:c r="E137" s="19" t="n">
        <x:v>64</x:v>
      </x:c>
      <x:c r="F137" s="18" t="str">
        <x:v>R</x:v>
      </x:c>
      <x:c r="G137" s="19" t="n">
        <x:v>5</x:v>
      </x:c>
      <x:c r="H137" s="18" t="n">
        <x:v>1</x:v>
      </x:c>
      <x:c r="I137" s="19" t="n">
        <x:v>1</x:v>
      </x:c>
      <x:c r="J137" s="20" t="n">
        <x:v>128.777139</x:v>
      </x:c>
      <x:c r="K137" s="20" t="n">
        <x:v>2.949794</x:v>
      </x:c>
      <x:c r="L137" s="19" t="n">
        <x:v>1000</x:v>
      </x:c>
      <x:c r="M137" s="19" t="n">
        <x:v>0</x:v>
      </x:c>
      <x:c r="N137" s="19" t="n">
        <x:v>1000</x:v>
      </x:c>
      <x:c r="O137" s="19" t="n">
        <x:v>0</x:v>
      </x:c>
      <x:c r="P137" s="19" t="n">
        <x:v>1000</x:v>
      </x:c>
      <x:c r="Q137" s="19" t="n">
        <x:v>0</x:v>
      </x:c>
      <x:c r="R137" s="21" t="n">
        <x:f>P137/L137</x:f>
        <x:v>1</x:v>
      </x:c>
      <x:c r="S137" s="18" t="str">
        <x:v>iteration_limit</x:v>
      </x:c>
      <x:c r="T137" s="22" t="b">
        <x:v>0</x:v>
      </x:c>
      <x:c r="U137" s="19" t="n">
        <x:v>0</x:v>
      </x:c>
      <x:c r="V137" s="19" t="n">
        <x:v>0</x:v>
      </x:c>
      <x:c r="W137" s="19" t="n">
        <x:v>0</x:v>
      </x:c>
      <x:c r="X137" s="22" t="b">
        <x:v>0</x:v>
      </x:c>
      <x:c r="Y137" s="20" t="n">
        <x:v>0</x:v>
      </x:c>
      <x:c r="Z137" s="20" t="n">
        <x:v>0</x:v>
      </x:c>
      <x:c r="AA137" s="20" t="n">
        <x:v>0</x:v>
      </x:c>
      <x:c r="AB137" s="20" t="n">
        <x:v>0.273651</x:v>
      </x:c>
      <x:c r="AC137" s="20" t="n">
        <x:v>2</x:v>
      </x:c>
      <x:c r="AD137" s="20" t="n">
        <x:v>36.590343</x:v>
      </x:c>
      <x:c r="AE137" s="20" t="n">
        <x:v>213.443906</x:v>
      </x:c>
      <x:c r="AF137" s="18" t="str">
        <x:v>{"random_removal": 1.0, "related_removal": 1.0, "worst_removal": 1.0}</x:v>
      </x:c>
      <x:c r="AG137" s="18" t="str">
        <x:v>{"greedy_insertion": 1.0, "regret_2_insertion": 1.0}</x:v>
      </x:c>
      <x:c r="AH137" s="18" t="str">
        <x:v>[["D0", "C77", "C72", "S15", "S13", "C37", "C17", "C18", "D0"]]</x:v>
      </x:c>
    </x:row>
    <x:row r="138">
      <x:c r="A138" s="18" t="str">
        <x:v>results/week6/ablation_no_adaptive/alns_evrptw_summary.csv</x:v>
      </x:c>
      <x:c r="B138" s="18" t="str">
        <x:v>No_Adaptive</x:v>
      </x:c>
      <x:c r="C138" s="18" t="str">
        <x:v>ALNS_EVRPTW_FULL_RECHARGE</x:v>
      </x:c>
      <x:c r="D138" s="18" t="str">
        <x:v>r202C5</x:v>
      </x:c>
      <x:c r="E138" s="19" t="n">
        <x:v>65</x:v>
      </x:c>
      <x:c r="F138" s="18" t="str">
        <x:v>R</x:v>
      </x:c>
      <x:c r="G138" s="19" t="n">
        <x:v>5</x:v>
      </x:c>
      <x:c r="H138" s="18" t="n">
        <x:v>1</x:v>
      </x:c>
      <x:c r="I138" s="19" t="n">
        <x:v>1</x:v>
      </x:c>
      <x:c r="J138" s="20" t="n">
        <x:v>128.777139</x:v>
      </x:c>
      <x:c r="K138" s="20" t="n">
        <x:v>2.733082</x:v>
      </x:c>
      <x:c r="L138" s="19" t="n">
        <x:v>1000</x:v>
      </x:c>
      <x:c r="M138" s="19" t="n">
        <x:v>0</x:v>
      </x:c>
      <x:c r="N138" s="19" t="n">
        <x:v>1000</x:v>
      </x:c>
      <x:c r="O138" s="19" t="n">
        <x:v>0</x:v>
      </x:c>
      <x:c r="P138" s="19" t="n">
        <x:v>1000</x:v>
      </x:c>
      <x:c r="Q138" s="19" t="n">
        <x:v>0</x:v>
      </x:c>
      <x:c r="R138" s="21" t="n">
        <x:f>P138/L138</x:f>
        <x:v>1</x:v>
      </x:c>
      <x:c r="S138" s="18" t="str">
        <x:v>iteration_limit</x:v>
      </x:c>
      <x:c r="T138" s="22" t="b">
        <x:v>0</x:v>
      </x:c>
      <x:c r="U138" s="19" t="n">
        <x:v>0</x:v>
      </x:c>
      <x:c r="V138" s="19" t="n">
        <x:v>0</x:v>
      </x:c>
      <x:c r="W138" s="19" t="n">
        <x:v>0</x:v>
      </x:c>
      <x:c r="X138" s="22" t="b">
        <x:v>0</x:v>
      </x:c>
      <x:c r="Y138" s="20" t="n">
        <x:v>0</x:v>
      </x:c>
      <x:c r="Z138" s="20" t="n">
        <x:v>0</x:v>
      </x:c>
      <x:c r="AA138" s="20" t="n">
        <x:v>0</x:v>
      </x:c>
      <x:c r="AB138" s="20" t="n">
        <x:v>0.273651</x:v>
      </x:c>
      <x:c r="AC138" s="20" t="n">
        <x:v>2</x:v>
      </x:c>
      <x:c r="AD138" s="20" t="n">
        <x:v>36.590343</x:v>
      </x:c>
      <x:c r="AE138" s="20" t="n">
        <x:v>213.443906</x:v>
      </x:c>
      <x:c r="AF138" s="18" t="str">
        <x:v>{"random_removal": 1.0, "related_removal": 1.0, "worst_removal": 1.0}</x:v>
      </x:c>
      <x:c r="AG138" s="18" t="str">
        <x:v>{"greedy_insertion": 1.0, "regret_2_insertion": 1.0}</x:v>
      </x:c>
      <x:c r="AH138" s="18" t="str">
        <x:v>[["D0", "C77", "C72", "S15", "S13", "C37", "C17", "C18", "D0"]]</x:v>
      </x:c>
    </x:row>
    <x:row r="139">
      <x:c r="A139" s="18" t="str">
        <x:v>results/week6/ablation_no_adaptive/alns_evrptw_summary.csv</x:v>
      </x:c>
      <x:c r="B139" s="18" t="str">
        <x:v>No_Adaptive</x:v>
      </x:c>
      <x:c r="C139" s="18" t="str">
        <x:v>ALNS_EVRPTW_FULL_RECHARGE</x:v>
      </x:c>
      <x:c r="D139" s="18" t="str">
        <x:v>r202C5</x:v>
      </x:c>
      <x:c r="E139" s="19" t="n">
        <x:v>66</x:v>
      </x:c>
      <x:c r="F139" s="18" t="str">
        <x:v>R</x:v>
      </x:c>
      <x:c r="G139" s="19" t="n">
        <x:v>5</x:v>
      </x:c>
      <x:c r="H139" s="18" t="n">
        <x:v>1</x:v>
      </x:c>
      <x:c r="I139" s="19" t="n">
        <x:v>1</x:v>
      </x:c>
      <x:c r="J139" s="20" t="n">
        <x:v>128.777139</x:v>
      </x:c>
      <x:c r="K139" s="20" t="n">
        <x:v>2.667392</x:v>
      </x:c>
      <x:c r="L139" s="19" t="n">
        <x:v>1000</x:v>
      </x:c>
      <x:c r="M139" s="19" t="n">
        <x:v>0</x:v>
      </x:c>
      <x:c r="N139" s="19" t="n">
        <x:v>1000</x:v>
      </x:c>
      <x:c r="O139" s="19" t="n">
        <x:v>0</x:v>
      </x:c>
      <x:c r="P139" s="19" t="n">
        <x:v>1000</x:v>
      </x:c>
      <x:c r="Q139" s="19" t="n">
        <x:v>0</x:v>
      </x:c>
      <x:c r="R139" s="21" t="n">
        <x:f>P139/L139</x:f>
        <x:v>1</x:v>
      </x:c>
      <x:c r="S139" s="18" t="str">
        <x:v>iteration_limit</x:v>
      </x:c>
      <x:c r="T139" s="22" t="b">
        <x:v>0</x:v>
      </x:c>
      <x:c r="U139" s="19" t="n">
        <x:v>0</x:v>
      </x:c>
      <x:c r="V139" s="19" t="n">
        <x:v>0</x:v>
      </x:c>
      <x:c r="W139" s="19" t="n">
        <x:v>0</x:v>
      </x:c>
      <x:c r="X139" s="22" t="b">
        <x:v>0</x:v>
      </x:c>
      <x:c r="Y139" s="20" t="n">
        <x:v>0</x:v>
      </x:c>
      <x:c r="Z139" s="20" t="n">
        <x:v>0</x:v>
      </x:c>
      <x:c r="AA139" s="20" t="n">
        <x:v>0</x:v>
      </x:c>
      <x:c r="AB139" s="20" t="n">
        <x:v>0.273651</x:v>
      </x:c>
      <x:c r="AC139" s="20" t="n">
        <x:v>2</x:v>
      </x:c>
      <x:c r="AD139" s="20" t="n">
        <x:v>36.590343</x:v>
      </x:c>
      <x:c r="AE139" s="20" t="n">
        <x:v>213.443906</x:v>
      </x:c>
      <x:c r="AF139" s="18" t="str">
        <x:v>{"random_removal": 1.0, "related_removal": 1.0, "worst_removal": 1.0}</x:v>
      </x:c>
      <x:c r="AG139" s="18" t="str">
        <x:v>{"greedy_insertion": 1.0, "regret_2_insertion": 1.0}</x:v>
      </x:c>
      <x:c r="AH139" s="18" t="str">
        <x:v>[["D0", "C77", "C72", "S15", "S13", "C37", "C17", "C18", "D0"]]</x:v>
      </x:c>
    </x:row>
    <x:row r="140">
      <x:c r="A140" s="18" t="str">
        <x:v>results/week6/ablation_no_adaptive/alns_evrptw_summary.csv</x:v>
      </x:c>
      <x:c r="B140" s="18" t="str">
        <x:v>No_Adaptive</x:v>
      </x:c>
      <x:c r="C140" s="18" t="str">
        <x:v>ALNS_EVRPTW_FULL_RECHARGE</x:v>
      </x:c>
      <x:c r="D140" s="18" t="str">
        <x:v>r201C10</x:v>
      </x:c>
      <x:c r="E140" s="19" t="n">
        <x:v>64</x:v>
      </x:c>
      <x:c r="F140" s="18" t="str">
        <x:v>R</x:v>
      </x:c>
      <x:c r="G140" s="19" t="n">
        <x:v>10</x:v>
      </x:c>
      <x:c r="H140" s="18" t="n">
        <x:v>1</x:v>
      </x:c>
      <x:c r="I140" s="19" t="n">
        <x:v>1</x:v>
      </x:c>
      <x:c r="J140" s="20" t="n">
        <x:v>241.505881</x:v>
      </x:c>
      <x:c r="K140" s="20" t="n">
        <x:v>24.950275</x:v>
      </x:c>
      <x:c r="L140" s="19" t="n">
        <x:v>1000</x:v>
      </x:c>
      <x:c r="M140" s="19" t="n">
        <x:v>3</x:v>
      </x:c>
      <x:c r="N140" s="19" t="n">
        <x:v>959</x:v>
      </x:c>
      <x:c r="O140" s="19" t="n">
        <x:v>1</x:v>
      </x:c>
      <x:c r="P140" s="19" t="n">
        <x:v>958</x:v>
      </x:c>
      <x:c r="Q140" s="19" t="n">
        <x:v>0</x:v>
      </x:c>
      <x:c r="R140" s="21" t="n">
        <x:f>P140/L140</x:f>
        <x:v>0.958</x:v>
      </x:c>
      <x:c r="S140" s="18" t="str">
        <x:v>iteration_limit</x:v>
      </x:c>
      <x:c r="T140" s="22" t="b">
        <x:v>0</x:v>
      </x:c>
      <x:c r="U140" s="19" t="n">
        <x:v>0</x:v>
      </x:c>
      <x:c r="V140" s="19" t="n">
        <x:v>0</x:v>
      </x:c>
      <x:c r="W140" s="19" t="n">
        <x:v>0</x:v>
      </x:c>
      <x:c r="X140" s="22" t="b">
        <x:v>0</x:v>
      </x:c>
      <x:c r="Y140" s="20" t="n">
        <x:v>0</x:v>
      </x:c>
      <x:c r="Z140" s="20" t="n">
        <x:v>0</x:v>
      </x:c>
      <x:c r="AA140" s="20" t="n">
        <x:v>0</x:v>
      </x:c>
      <x:c r="AB140" s="20" t="n">
        <x:v>0.230403</x:v>
      </x:c>
      <x:c r="AC140" s="20" t="n">
        <x:v>5</x:v>
      </x:c>
      <x:c r="AD140" s="20" t="n">
        <x:v>104.664649</x:v>
      </x:c>
      <x:c r="AE140" s="20" t="n">
        <x:v>254.516503</x:v>
      </x:c>
      <x:c r="AF140" s="18" t="str">
        <x:v>{"random_removal": 1.0, "related_removal": 1.0, "worst_removal": 1.0}</x:v>
      </x:c>
      <x:c r="AG140" s="18" t="str">
        <x:v>{"greedy_insertion": 1.0, "regret_2_insertion": 1.0}</x:v>
      </x:c>
      <x:c r="AH140" s="18" t="str">
        <x:v>[["D0", "C100", "S15", "C72", "C77", "C28", "S0", "C18", "C84", "S13", "C94", "S0", "C50", "C32", "S5", "C31", "D0"]]</x:v>
      </x:c>
    </x:row>
    <x:row r="141">
      <x:c r="A141" s="18" t="str">
        <x:v>results/week6/ablation_no_adaptive/alns_evrptw_summary.csv</x:v>
      </x:c>
      <x:c r="B141" s="18" t="str">
        <x:v>No_Adaptive</x:v>
      </x:c>
      <x:c r="C141" s="18" t="str">
        <x:v>ALNS_EVRPTW_FULL_RECHARGE</x:v>
      </x:c>
      <x:c r="D141" s="18" t="str">
        <x:v>r201C10</x:v>
      </x:c>
      <x:c r="E141" s="19" t="n">
        <x:v>65</x:v>
      </x:c>
      <x:c r="F141" s="18" t="str">
        <x:v>R</x:v>
      </x:c>
      <x:c r="G141" s="19" t="n">
        <x:v>10</x:v>
      </x:c>
      <x:c r="H141" s="18" t="n">
        <x:v>1</x:v>
      </x:c>
      <x:c r="I141" s="19" t="n">
        <x:v>1</x:v>
      </x:c>
      <x:c r="J141" s="20" t="n">
        <x:v>241.505881</x:v>
      </x:c>
      <x:c r="K141" s="20" t="n">
        <x:v>25.682368</x:v>
      </x:c>
      <x:c r="L141" s="19" t="n">
        <x:v>1000</x:v>
      </x:c>
      <x:c r="M141" s="19" t="n">
        <x:v>1</x:v>
      </x:c>
      <x:c r="N141" s="19" t="n">
        <x:v>963</x:v>
      </x:c>
      <x:c r="O141" s="19" t="n">
        <x:v>1</x:v>
      </x:c>
      <x:c r="P141" s="19" t="n">
        <x:v>962</x:v>
      </x:c>
      <x:c r="Q141" s="19" t="n">
        <x:v>0</x:v>
      </x:c>
      <x:c r="R141" s="21" t="n">
        <x:f>P141/L141</x:f>
        <x:v>0.962</x:v>
      </x:c>
      <x:c r="S141" s="18" t="str">
        <x:v>iteration_limit</x:v>
      </x:c>
      <x:c r="T141" s="22" t="b">
        <x:v>0</x:v>
      </x:c>
      <x:c r="U141" s="19" t="n">
        <x:v>0</x:v>
      </x:c>
      <x:c r="V141" s="19" t="n">
        <x:v>0</x:v>
      </x:c>
      <x:c r="W141" s="19" t="n">
        <x:v>0</x:v>
      </x:c>
      <x:c r="X141" s="22" t="b">
        <x:v>0</x:v>
      </x:c>
      <x:c r="Y141" s="20" t="n">
        <x:v>0</x:v>
      </x:c>
      <x:c r="Z141" s="20" t="n">
        <x:v>0</x:v>
      </x:c>
      <x:c r="AA141" s="20" t="n">
        <x:v>0</x:v>
      </x:c>
      <x:c r="AB141" s="20" t="n">
        <x:v>0.230403</x:v>
      </x:c>
      <x:c r="AC141" s="20" t="n">
        <x:v>5</x:v>
      </x:c>
      <x:c r="AD141" s="20" t="n">
        <x:v>104.664649</x:v>
      </x:c>
      <x:c r="AE141" s="20" t="n">
        <x:v>254.516503</x:v>
      </x:c>
      <x:c r="AF141" s="18" t="str">
        <x:v>{"random_removal": 1.0, "related_removal": 1.0, "worst_removal": 1.0}</x:v>
      </x:c>
      <x:c r="AG141" s="18" t="str">
        <x:v>{"greedy_insertion": 1.0, "regret_2_insertion": 1.0}</x:v>
      </x:c>
      <x:c r="AH141" s="18" t="str">
        <x:v>[["D0", "C100", "S15", "C72", "C77", "C28", "S0", "C18", "C84", "S13", "C94", "S0", "C50", "C32", "S5", "C31", "D0"]]</x:v>
      </x:c>
    </x:row>
    <x:row r="142">
      <x:c r="A142" s="18" t="str">
        <x:v>results/week6/ablation_no_adaptive/alns_evrptw_summary.csv</x:v>
      </x:c>
      <x:c r="B142" s="18" t="str">
        <x:v>No_Adaptive</x:v>
      </x:c>
      <x:c r="C142" s="18" t="str">
        <x:v>ALNS_EVRPTW_FULL_RECHARGE</x:v>
      </x:c>
      <x:c r="D142" s="18" t="str">
        <x:v>r201C10</x:v>
      </x:c>
      <x:c r="E142" s="19" t="n">
        <x:v>66</x:v>
      </x:c>
      <x:c r="F142" s="18" t="str">
        <x:v>R</x:v>
      </x:c>
      <x:c r="G142" s="19" t="n">
        <x:v>10</x:v>
      </x:c>
      <x:c r="H142" s="18" t="n">
        <x:v>1</x:v>
      </x:c>
      <x:c r="I142" s="19" t="n">
        <x:v>2</x:v>
      </x:c>
      <x:c r="J142" s="20" t="n">
        <x:v>228.355271</x:v>
      </x:c>
      <x:c r="K142" s="20" t="n">
        <x:v>14.643908</x:v>
      </x:c>
      <x:c r="L142" s="19" t="n">
        <x:v>1000</x:v>
      </x:c>
      <x:c r="M142" s="19" t="n">
        <x:v>283</x:v>
      </x:c>
      <x:c r="N142" s="19" t="n">
        <x:v>1000</x:v>
      </x:c>
      <x:c r="O142" s="19" t="n">
        <x:v>3</x:v>
      </x:c>
      <x:c r="P142" s="19" t="n">
        <x:v>997</x:v>
      </x:c>
      <x:c r="Q142" s="19" t="n">
        <x:v>0</x:v>
      </x:c>
      <x:c r="R142" s="21" t="n">
        <x:f>P142/L142</x:f>
        <x:v>0.997</x:v>
      </x:c>
      <x:c r="S142" s="18" t="str">
        <x:v>iteration_limit</x:v>
      </x:c>
      <x:c r="T142" s="22" t="b">
        <x:v>0</x:v>
      </x:c>
      <x:c r="U142" s="19" t="n">
        <x:v>0</x:v>
      </x:c>
      <x:c r="V142" s="19" t="n">
        <x:v>0</x:v>
      </x:c>
      <x:c r="W142" s="19" t="n">
        <x:v>0</x:v>
      </x:c>
      <x:c r="X142" s="22" t="b">
        <x:v>0</x:v>
      </x:c>
      <x:c r="Y142" s="20" t="n">
        <x:v>0</x:v>
      </x:c>
      <x:c r="Z142" s="20" t="n">
        <x:v>0</x:v>
      </x:c>
      <x:c r="AA142" s="20" t="n">
        <x:v>0</x:v>
      </x:c>
      <x:c r="AB142" s="20" t="n">
        <x:v>4.088911</x:v>
      </x:c>
      <x:c r="AC142" s="20" t="n">
        <x:v>3</x:v>
      </x:c>
      <x:c r="AD142" s="20" t="n">
        <x:v>72.475779</x:v>
      </x:c>
      <x:c r="AE142" s="20" t="n">
        <x:v>780.520216</x:v>
      </x:c>
      <x:c r="AF142" s="18" t="str">
        <x:v>{"random_removal": 1.0, "related_removal": 1.0, "worst_removal": 1.0}</x:v>
      </x:c>
      <x:c r="AG142" s="18" t="str">
        <x:v>{"greedy_insertion": 1.0, "regret_2_insertion": 1.0}</x:v>
      </x:c>
      <x:c r="AH142" s="18" t="str">
        <x:v>[["D0", "C72", "C100", "S13", "C84", "C18", "C94", "D0"], ["D0", "C77", "C28", "S0", "C50", "C32", "S5", "C31", "D0"]]</x:v>
      </x:c>
    </x:row>
    <x:row r="143">
      <x:c r="A143" s="18" t="str">
        <x:v>results/week6/ablation_no_adaptive/alns_evrptw_summary.csv</x:v>
      </x:c>
      <x:c r="B143" s="18" t="str">
        <x:v>No_Adaptive</x:v>
      </x:c>
      <x:c r="C143" s="18" t="str">
        <x:v>ALNS_EVRPTW_FULL_RECHARGE</x:v>
      </x:c>
      <x:c r="D143" s="18" t="str">
        <x:v>r202C15</x:v>
      </x:c>
      <x:c r="E143" s="19" t="n">
        <x:v>64</x:v>
      </x:c>
      <x:c r="F143" s="18" t="str">
        <x:v>R</x:v>
      </x:c>
      <x:c r="G143" s="19" t="n">
        <x:v>15</x:v>
      </x:c>
      <x:c r="H143" s="18" t="n">
        <x:v>1</x:v>
      </x:c>
      <x:c r="I143" s="19" t="n">
        <x:v>2</x:v>
      </x:c>
      <x:c r="J143" s="20" t="n">
        <x:v>358.004778</x:v>
      </x:c>
      <x:c r="K143" s="20" t="n">
        <x:v>161.602393</x:v>
      </x:c>
      <x:c r="L143" s="19" t="n">
        <x:v>1000</x:v>
      </x:c>
      <x:c r="M143" s="19" t="n">
        <x:v>209</x:v>
      </x:c>
      <x:c r="N143" s="19" t="n">
        <x:v>955</x:v>
      </x:c>
      <x:c r="O143" s="19" t="n">
        <x:v>9</x:v>
      </x:c>
      <x:c r="P143" s="19" t="n">
        <x:v>943</x:v>
      </x:c>
      <x:c r="Q143" s="19" t="n">
        <x:v>3</x:v>
      </x:c>
      <x:c r="R143" s="21" t="n">
        <x:f>P143/L143</x:f>
        <x:v>0.943</x:v>
      </x:c>
      <x:c r="S143" s="18" t="str">
        <x:v>iteration_limit</x:v>
      </x:c>
      <x:c r="T143" s="22" t="b">
        <x:v>0</x:v>
      </x:c>
      <x:c r="U143" s="19" t="n">
        <x:v>0</x:v>
      </x:c>
      <x:c r="V143" s="19" t="n">
        <x:v>0</x:v>
      </x:c>
      <x:c r="W143" s="19" t="n">
        <x:v>0</x:v>
      </x:c>
      <x:c r="X143" s="22" t="b">
        <x:v>0</x:v>
      </x:c>
      <x:c r="Y143" s="20" t="n">
        <x:v>0</x:v>
      </x:c>
      <x:c r="Z143" s="20" t="n">
        <x:v>0</x:v>
      </x:c>
      <x:c r="AA143" s="20" t="n">
        <x:v>0</x:v>
      </x:c>
      <x:c r="AB143" s="20" t="n">
        <x:v>2.718822</x:v>
      </x:c>
      <x:c r="AC143" s="20" t="n">
        <x:v>6</x:v>
      </x:c>
      <x:c r="AD143" s="20" t="n">
        <x:v>126.212259</x:v>
      </x:c>
      <x:c r="AE143" s="20" t="n">
        <x:v>772.315542</x:v>
      </x:c>
      <x:c r="AF143" s="18" t="str">
        <x:v>{"random_removal": 1.0, "related_removal": 1.0, "worst_removal": 1.0}</x:v>
      </x:c>
      <x:c r="AG143" s="18" t="str">
        <x:v>{"greedy_insertion": 1.0, "regret_2_insertion": 1.0}</x:v>
      </x:c>
      <x:c r="AH143" s="18" t="str">
        <x:v>[["D0", "C79", "C70", "S5", "C11", "C46", "C48", "S9", "C61", "S13", "C87", "C85", "D0"], ["D0", "S13", "C44", "C38", "C42", "S15", "C72", "C23", "S19", "C25", "C41", "D0"]]</x:v>
      </x:c>
    </x:row>
    <x:row r="144">
      <x:c r="A144" s="18" t="str">
        <x:v>results/week6/ablation_no_adaptive/alns_evrptw_summary.csv</x:v>
      </x:c>
      <x:c r="B144" s="18" t="str">
        <x:v>No_Adaptive</x:v>
      </x:c>
      <x:c r="C144" s="18" t="str">
        <x:v>ALNS_EVRPTW_FULL_RECHARGE</x:v>
      </x:c>
      <x:c r="D144" s="18" t="str">
        <x:v>r202C15</x:v>
      </x:c>
      <x:c r="E144" s="19" t="n">
        <x:v>65</x:v>
      </x:c>
      <x:c r="F144" s="18" t="str">
        <x:v>R</x:v>
      </x:c>
      <x:c r="G144" s="19" t="n">
        <x:v>15</x:v>
      </x:c>
      <x:c r="H144" s="18" t="n">
        <x:v>1</x:v>
      </x:c>
      <x:c r="I144" s="19" t="n">
        <x:v>2</x:v>
      </x:c>
      <x:c r="J144" s="20" t="n">
        <x:v>358.004778</x:v>
      </x:c>
      <x:c r="K144" s="20" t="n">
        <x:v>151.720011</x:v>
      </x:c>
      <x:c r="L144" s="19" t="n">
        <x:v>1000</x:v>
      </x:c>
      <x:c r="M144" s="19" t="n">
        <x:v>79</x:v>
      </x:c>
      <x:c r="N144" s="19" t="n">
        <x:v>961</x:v>
      </x:c>
      <x:c r="O144" s="19" t="n">
        <x:v>6</x:v>
      </x:c>
      <x:c r="P144" s="19" t="n">
        <x:v>951</x:v>
      </x:c>
      <x:c r="Q144" s="19" t="n">
        <x:v>4</x:v>
      </x:c>
      <x:c r="R144" s="21" t="n">
        <x:f>P144/L144</x:f>
        <x:v>0.951</x:v>
      </x:c>
      <x:c r="S144" s="18" t="str">
        <x:v>iteration_limit</x:v>
      </x:c>
      <x:c r="T144" s="22" t="b">
        <x:v>0</x:v>
      </x:c>
      <x:c r="U144" s="19" t="n">
        <x:v>0</x:v>
      </x:c>
      <x:c r="V144" s="19" t="n">
        <x:v>0</x:v>
      </x:c>
      <x:c r="W144" s="19" t="n">
        <x:v>0</x:v>
      </x:c>
      <x:c r="X144" s="22" t="b">
        <x:v>0</x:v>
      </x:c>
      <x:c r="Y144" s="20" t="n">
        <x:v>0</x:v>
      </x:c>
      <x:c r="Z144" s="20" t="n">
        <x:v>0</x:v>
      </x:c>
      <x:c r="AA144" s="20" t="n">
        <x:v>0</x:v>
      </x:c>
      <x:c r="AB144" s="20" t="n">
        <x:v>2.718822</x:v>
      </x:c>
      <x:c r="AC144" s="20" t="n">
        <x:v>6</x:v>
      </x:c>
      <x:c r="AD144" s="20" t="n">
        <x:v>126.212259</x:v>
      </x:c>
      <x:c r="AE144" s="20" t="n">
        <x:v>772.315542</x:v>
      </x:c>
      <x:c r="AF144" s="18" t="str">
        <x:v>{"random_removal": 1.0, "related_removal": 1.0, "worst_removal": 1.0}</x:v>
      </x:c>
      <x:c r="AG144" s="18" t="str">
        <x:v>{"greedy_insertion": 1.0, "regret_2_insertion": 1.0}</x:v>
      </x:c>
      <x:c r="AH144" s="18" t="str">
        <x:v>[["D0", "C79", "C70", "S5", "C11", "C46", "C48", "S9", "C61", "S13", "C87", "C85", "D0"], ["D0", "S13", "C44", "C38", "C42", "S15", "C72", "C23", "S19", "C25", "C41", "D0"]]</x:v>
      </x:c>
    </x:row>
    <x:row r="145">
      <x:c r="A145" s="18" t="str">
        <x:v>results/week6/ablation_no_adaptive/alns_evrptw_summary.csv</x:v>
      </x:c>
      <x:c r="B145" s="18" t="str">
        <x:v>No_Adaptive</x:v>
      </x:c>
      <x:c r="C145" s="18" t="str">
        <x:v>ALNS_EVRPTW_FULL_RECHARGE</x:v>
      </x:c>
      <x:c r="D145" s="18" t="str">
        <x:v>r202C15</x:v>
      </x:c>
      <x:c r="E145" s="19" t="n">
        <x:v>66</x:v>
      </x:c>
      <x:c r="F145" s="18" t="str">
        <x:v>R</x:v>
      </x:c>
      <x:c r="G145" s="19" t="n">
        <x:v>15</x:v>
      </x:c>
      <x:c r="H145" s="18" t="n">
        <x:v>1</x:v>
      </x:c>
      <x:c r="I145" s="19" t="n">
        <x:v>2</x:v>
      </x:c>
      <x:c r="J145" s="20" t="n">
        <x:v>406.804399</x:v>
      </x:c>
      <x:c r="K145" s="20" t="n">
        <x:v>265.169293</x:v>
      </x:c>
      <x:c r="L145" s="19" t="n">
        <x:v>1000</x:v>
      </x:c>
      <x:c r="M145" s="19" t="n">
        <x:v>70</x:v>
      </x:c>
      <x:c r="N145" s="19" t="n">
        <x:v>864</x:v>
      </x:c>
      <x:c r="O145" s="19" t="n">
        <x:v>4</x:v>
      </x:c>
      <x:c r="P145" s="19" t="n">
        <x:v>857</x:v>
      </x:c>
      <x:c r="Q145" s="19" t="n">
        <x:v>3</x:v>
      </x:c>
      <x:c r="R145" s="21" t="n">
        <x:f>P145/L145</x:f>
        <x:v>0.857</x:v>
      </x:c>
      <x:c r="S145" s="18" t="str">
        <x:v>iteration_limit</x:v>
      </x:c>
      <x:c r="T145" s="22" t="b">
        <x:v>0</x:v>
      </x:c>
      <x:c r="U145" s="19" t="n">
        <x:v>0</x:v>
      </x:c>
      <x:c r="V145" s="19" t="n">
        <x:v>0</x:v>
      </x:c>
      <x:c r="W145" s="19" t="n">
        <x:v>0</x:v>
      </x:c>
      <x:c r="X145" s="22" t="b">
        <x:v>0</x:v>
      </x:c>
      <x:c r="Y145" s="20" t="n">
        <x:v>0</x:v>
      </x:c>
      <x:c r="Z145" s="20" t="n">
        <x:v>0</x:v>
      </x:c>
      <x:c r="AA145" s="20" t="n">
        <x:v>0</x:v>
      </x:c>
      <x:c r="AB145" s="20" t="n">
        <x:v>1.762948</x:v>
      </x:c>
      <x:c r="AC145" s="20" t="n">
        <x:v>7</x:v>
      </x:c>
      <x:c r="AD145" s="20" t="n">
        <x:v>143.176814</x:v>
      </x:c>
      <x:c r="AE145" s="20" t="n">
        <x:v>942.968532</x:v>
      </x:c>
      <x:c r="AF145" s="18" t="str">
        <x:v>{"random_removal": 1.0, "related_removal": 1.0, "worst_removal": 1.0}</x:v>
      </x:c>
      <x:c r="AG145" s="18" t="str">
        <x:v>{"greedy_insertion": 1.0, "regret_2_insertion": 1.0}</x:v>
      </x:c>
      <x:c r="AH145" s="18" t="str">
        <x:v>[["D0", "S13", "C44", "S9", "C46", "C48", "S9", "C61", "S13", "C87", "C42", "C38", "S13", "C85", "C11", "S5", "C70", "C79", "D0"], ["D0", "C72", "C23", "S19", "C25", "C41", "D0"]]</x:v>
      </x:c>
    </x:row>
    <x:row r="146">
      <x:c r="A146" s="18" t="str">
        <x:v>results/week6/ablation_no_adaptive/alns_evrptw_summary.csv</x:v>
      </x:c>
      <x:c r="B146" s="18" t="str">
        <x:v>No_Adaptive</x:v>
      </x:c>
      <x:c r="C146" s="18" t="str">
        <x:v>ALNS_EVRPTW_FULL_RECHARGE</x:v>
      </x:c>
      <x:c r="D146" s="18" t="str">
        <x:v>rc105C5</x:v>
      </x:c>
      <x:c r="E146" s="19" t="n">
        <x:v>64</x:v>
      </x:c>
      <x:c r="F146" s="18" t="str">
        <x:v>RC</x:v>
      </x:c>
      <x:c r="G146" s="19" t="n">
        <x:v>5</x:v>
      </x:c>
      <x:c r="H146" s="18" t="n">
        <x:v>1</x:v>
      </x:c>
      <x:c r="I146" s="19" t="n">
        <x:v>3</x:v>
      </x:c>
      <x:c r="J146" s="20" t="n">
        <x:v>238.052232</x:v>
      </x:c>
      <x:c r="K146" s="20" t="n">
        <x:v>1.265094</x:v>
      </x:c>
      <x:c r="L146" s="19" t="n">
        <x:v>1000</x:v>
      </x:c>
      <x:c r="M146" s="19" t="n">
        <x:v>0</x:v>
      </x:c>
      <x:c r="N146" s="19" t="n">
        <x:v>1000</x:v>
      </x:c>
      <x:c r="O146" s="19" t="n">
        <x:v>0</x:v>
      </x:c>
      <x:c r="P146" s="19" t="n">
        <x:v>1000</x:v>
      </x:c>
      <x:c r="Q146" s="19" t="n">
        <x:v>0</x:v>
      </x:c>
      <x:c r="R146" s="21" t="n">
        <x:f>P146/L146</x:f>
        <x:v>1</x:v>
      </x:c>
      <x:c r="S146" s="18" t="str">
        <x:v>iteration_limit</x:v>
      </x:c>
      <x:c r="T146" s="22" t="b">
        <x:v>0</x:v>
      </x:c>
      <x:c r="U146" s="19" t="n">
        <x:v>0</x:v>
      </x:c>
      <x:c r="V146" s="19" t="n">
        <x:v>0</x:v>
      </x:c>
      <x:c r="W146" s="19" t="n">
        <x:v>0</x:v>
      </x:c>
      <x:c r="X146" s="22" t="b">
        <x:v>0</x:v>
      </x:c>
      <x:c r="Y146" s="20" t="n">
        <x:v>0</x:v>
      </x:c>
      <x:c r="Z146" s="20" t="n">
        <x:v>0</x:v>
      </x:c>
      <x:c r="AA146" s="20" t="n">
        <x:v>0</x:v>
      </x:c>
      <x:c r="AB146" s="20" t="n">
        <x:v>7.75</x:v>
      </x:c>
      <x:c r="AC146" s="20" t="n">
        <x:v>1</x:v>
      </x:c>
      <x:c r="AD146" s="20" t="n">
        <x:v>19.098411</x:v>
      </x:c>
      <x:c r="AE146" s="20" t="n">
        <x:v>110.096371</x:v>
      </x:c>
      <x:c r="AF146" s="18" t="str">
        <x:v>{"random_removal": 1.0, "related_removal": 1.0, "worst_removal": 1.0}</x:v>
      </x:c>
      <x:c r="AG146" s="18" t="str">
        <x:v>{"greedy_insertion": 1.0, "regret_2_insertion": 1.0}</x:v>
      </x:c>
      <x:c r="AH146" s="18" t="str">
        <x:v>[["D0", "C55", "S3", "C36", "D0"], ["D0", "C11", "C82", "D0"], ["D0", "C22", "D0"]]</x:v>
      </x:c>
    </x:row>
    <x:row r="147">
      <x:c r="A147" s="18" t="str">
        <x:v>results/week6/ablation_no_adaptive/alns_evrptw_summary.csv</x:v>
      </x:c>
      <x:c r="B147" s="18" t="str">
        <x:v>No_Adaptive</x:v>
      </x:c>
      <x:c r="C147" s="18" t="str">
        <x:v>ALNS_EVRPTW_FULL_RECHARGE</x:v>
      </x:c>
      <x:c r="D147" s="18" t="str">
        <x:v>rc105C5</x:v>
      </x:c>
      <x:c r="E147" s="19" t="n">
        <x:v>65</x:v>
      </x:c>
      <x:c r="F147" s="18" t="str">
        <x:v>RC</x:v>
      </x:c>
      <x:c r="G147" s="19" t="n">
        <x:v>5</x:v>
      </x:c>
      <x:c r="H147" s="18" t="n">
        <x:v>1</x:v>
      </x:c>
      <x:c r="I147" s="19" t="n">
        <x:v>3</x:v>
      </x:c>
      <x:c r="J147" s="20" t="n">
        <x:v>238.052232</x:v>
      </x:c>
      <x:c r="K147" s="20" t="n">
        <x:v>1.186546</x:v>
      </x:c>
      <x:c r="L147" s="19" t="n">
        <x:v>1000</x:v>
      </x:c>
      <x:c r="M147" s="19" t="n">
        <x:v>0</x:v>
      </x:c>
      <x:c r="N147" s="19" t="n">
        <x:v>1000</x:v>
      </x:c>
      <x:c r="O147" s="19" t="n">
        <x:v>0</x:v>
      </x:c>
      <x:c r="P147" s="19" t="n">
        <x:v>1000</x:v>
      </x:c>
      <x:c r="Q147" s="19" t="n">
        <x:v>0</x:v>
      </x:c>
      <x:c r="R147" s="21" t="n">
        <x:f>P147/L147</x:f>
        <x:v>1</x:v>
      </x:c>
      <x:c r="S147" s="18" t="str">
        <x:v>iteration_limit</x:v>
      </x:c>
      <x:c r="T147" s="22" t="b">
        <x:v>0</x:v>
      </x:c>
      <x:c r="U147" s="19" t="n">
        <x:v>0</x:v>
      </x:c>
      <x:c r="V147" s="19" t="n">
        <x:v>0</x:v>
      </x:c>
      <x:c r="W147" s="19" t="n">
        <x:v>0</x:v>
      </x:c>
      <x:c r="X147" s="22" t="b">
        <x:v>0</x:v>
      </x:c>
      <x:c r="Y147" s="20" t="n">
        <x:v>0</x:v>
      </x:c>
      <x:c r="Z147" s="20" t="n">
        <x:v>0</x:v>
      </x:c>
      <x:c r="AA147" s="20" t="n">
        <x:v>0</x:v>
      </x:c>
      <x:c r="AB147" s="20" t="n">
        <x:v>7.75</x:v>
      </x:c>
      <x:c r="AC147" s="20" t="n">
        <x:v>1</x:v>
      </x:c>
      <x:c r="AD147" s="20" t="n">
        <x:v>19.098411</x:v>
      </x:c>
      <x:c r="AE147" s="20" t="n">
        <x:v>110.096371</x:v>
      </x:c>
      <x:c r="AF147" s="18" t="str">
        <x:v>{"random_removal": 1.0, "related_removal": 1.0, "worst_removal": 1.0}</x:v>
      </x:c>
      <x:c r="AG147" s="18" t="str">
        <x:v>{"greedy_insertion": 1.0, "regret_2_insertion": 1.0}</x:v>
      </x:c>
      <x:c r="AH147" s="18" t="str">
        <x:v>[["D0", "C55", "S3", "C36", "D0"], ["D0", "C11", "C82", "D0"], ["D0", "C22", "D0"]]</x:v>
      </x:c>
    </x:row>
    <x:row r="148">
      <x:c r="A148" s="18" t="str">
        <x:v>results/week6/ablation_no_adaptive/alns_evrptw_summary.csv</x:v>
      </x:c>
      <x:c r="B148" s="18" t="str">
        <x:v>No_Adaptive</x:v>
      </x:c>
      <x:c r="C148" s="18" t="str">
        <x:v>ALNS_EVRPTW_FULL_RECHARGE</x:v>
      </x:c>
      <x:c r="D148" s="18" t="str">
        <x:v>rc105C5</x:v>
      </x:c>
      <x:c r="E148" s="19" t="n">
        <x:v>66</x:v>
      </x:c>
      <x:c r="F148" s="18" t="str">
        <x:v>RC</x:v>
      </x:c>
      <x:c r="G148" s="19" t="n">
        <x:v>5</x:v>
      </x:c>
      <x:c r="H148" s="18" t="n">
        <x:v>1</x:v>
      </x:c>
      <x:c r="I148" s="19" t="n">
        <x:v>3</x:v>
      </x:c>
      <x:c r="J148" s="20" t="n">
        <x:v>238.052232</x:v>
      </x:c>
      <x:c r="K148" s="20" t="n">
        <x:v>1.139557</x:v>
      </x:c>
      <x:c r="L148" s="19" t="n">
        <x:v>1000</x:v>
      </x:c>
      <x:c r="M148" s="19" t="n">
        <x:v>0</x:v>
      </x:c>
      <x:c r="N148" s="19" t="n">
        <x:v>1000</x:v>
      </x:c>
      <x:c r="O148" s="19" t="n">
        <x:v>0</x:v>
      </x:c>
      <x:c r="P148" s="19" t="n">
        <x:v>1000</x:v>
      </x:c>
      <x:c r="Q148" s="19" t="n">
        <x:v>0</x:v>
      </x:c>
      <x:c r="R148" s="21" t="n">
        <x:f>P148/L148</x:f>
        <x:v>1</x:v>
      </x:c>
      <x:c r="S148" s="18" t="str">
        <x:v>iteration_limit</x:v>
      </x:c>
      <x:c r="T148" s="22" t="b">
        <x:v>0</x:v>
      </x:c>
      <x:c r="U148" s="19" t="n">
        <x:v>0</x:v>
      </x:c>
      <x:c r="V148" s="19" t="n">
        <x:v>0</x:v>
      </x:c>
      <x:c r="W148" s="19" t="n">
        <x:v>0</x:v>
      </x:c>
      <x:c r="X148" s="22" t="b">
        <x:v>0</x:v>
      </x:c>
      <x:c r="Y148" s="20" t="n">
        <x:v>0</x:v>
      </x:c>
      <x:c r="Z148" s="20" t="n">
        <x:v>0</x:v>
      </x:c>
      <x:c r="AA148" s="20" t="n">
        <x:v>0</x:v>
      </x:c>
      <x:c r="AB148" s="20" t="n">
        <x:v>7.75</x:v>
      </x:c>
      <x:c r="AC148" s="20" t="n">
        <x:v>1</x:v>
      </x:c>
      <x:c r="AD148" s="20" t="n">
        <x:v>19.098411</x:v>
      </x:c>
      <x:c r="AE148" s="20" t="n">
        <x:v>110.096371</x:v>
      </x:c>
      <x:c r="AF148" s="18" t="str">
        <x:v>{"random_removal": 1.0, "related_removal": 1.0, "worst_removal": 1.0}</x:v>
      </x:c>
      <x:c r="AG148" s="18" t="str">
        <x:v>{"greedy_insertion": 1.0, "regret_2_insertion": 1.0}</x:v>
      </x:c>
      <x:c r="AH148" s="18" t="str">
        <x:v>[["D0", "C55", "S3", "C36", "D0"], ["D0", "C11", "C82", "D0"], ["D0", "C22", "D0"]]</x:v>
      </x:c>
    </x:row>
    <x:row r="149">
      <x:c r="A149" s="18" t="str">
        <x:v>results/week6/ablation_no_adaptive/alns_evrptw_summary.csv</x:v>
      </x:c>
      <x:c r="B149" s="18" t="str">
        <x:v>No_Adaptive</x:v>
      </x:c>
      <x:c r="C149" s="18" t="str">
        <x:v>ALNS_EVRPTW_FULL_RECHARGE</x:v>
      </x:c>
      <x:c r="D149" s="18" t="str">
        <x:v>rc102C10</x:v>
      </x:c>
      <x:c r="E149" s="19" t="n">
        <x:v>64</x:v>
      </x:c>
      <x:c r="F149" s="18" t="str">
        <x:v>RC</x:v>
      </x:c>
      <x:c r="G149" s="19" t="n">
        <x:v>10</x:v>
      </x:c>
      <x:c r="H149" s="18" t="n">
        <x:v>1</x:v>
      </x:c>
      <x:c r="I149" s="19" t="n">
        <x:v>4</x:v>
      </x:c>
      <x:c r="J149" s="20" t="n">
        <x:v>423.510182</x:v>
      </x:c>
      <x:c r="K149" s="20" t="n">
        <x:v>8.87268</x:v>
      </x:c>
      <x:c r="L149" s="19" t="n">
        <x:v>1000</x:v>
      </x:c>
      <x:c r="M149" s="19" t="n">
        <x:v>0</x:v>
      </x:c>
      <x:c r="N149" s="19" t="n">
        <x:v>972</x:v>
      </x:c>
      <x:c r="O149" s="19" t="n">
        <x:v>0</x:v>
      </x:c>
      <x:c r="P149" s="19" t="n">
        <x:v>972</x:v>
      </x:c>
      <x:c r="Q149" s="19" t="n">
        <x:v>0</x:v>
      </x:c>
      <x:c r="R149" s="21" t="n">
        <x:f>P149/L149</x:f>
        <x:v>0.972</x:v>
      </x:c>
      <x:c r="S149" s="18" t="str">
        <x:v>iteration_limit</x:v>
      </x:c>
      <x:c r="T149" s="22" t="b">
        <x:v>0</x:v>
      </x:c>
      <x:c r="U149" s="19" t="n">
        <x:v>0</x:v>
      </x:c>
      <x:c r="V149" s="19" t="n">
        <x:v>0</x:v>
      </x:c>
      <x:c r="W149" s="19" t="n">
        <x:v>0</x:v>
      </x:c>
      <x:c r="X149" s="22" t="b">
        <x:v>0</x:v>
      </x:c>
      <x:c r="Y149" s="20" t="n">
        <x:v>0</x:v>
      </x:c>
      <x:c r="Z149" s="20" t="n">
        <x:v>0</x:v>
      </x:c>
      <x:c r="AA149" s="20" t="n">
        <x:v>0</x:v>
      </x:c>
      <x:c r="AB149" s="20" t="n">
        <x:v>0.51776</x:v>
      </x:c>
      <x:c r="AC149" s="20" t="n">
        <x:v>3</x:v>
      </x:c>
      <x:c r="AD149" s="20" t="n">
        <x:v>69.382613</x:v>
      </x:c>
      <x:c r="AE149" s="20" t="n">
        <x:v>86.835319</x:v>
      </x:c>
      <x:c r="AF149" s="18" t="str">
        <x:v>{"random_removal": 1.0, "related_removal": 1.0, "worst_removal": 1.0}</x:v>
      </x:c>
      <x:c r="AG149" s="18" t="str">
        <x:v>{"greedy_insertion": 1.0, "regret_2_insertion": 1.0}</x:v>
      </x:c>
      <x:c r="AH149" s="18" t="str">
        <x:v>[["D0", "C57", "C49", "S15", "C92", "C54", "D0"], ["D0", "C44", "S1", "C26", "S19", "D0"], ["D0", "C45", "C70", "D0"], ["D0", "C53", "C11", "D0"]]</x:v>
      </x:c>
    </x:row>
    <x:row r="150">
      <x:c r="A150" s="18" t="str">
        <x:v>results/week6/ablation_no_adaptive/alns_evrptw_summary.csv</x:v>
      </x:c>
      <x:c r="B150" s="18" t="str">
        <x:v>No_Adaptive</x:v>
      </x:c>
      <x:c r="C150" s="18" t="str">
        <x:v>ALNS_EVRPTW_FULL_RECHARGE</x:v>
      </x:c>
      <x:c r="D150" s="18" t="str">
        <x:v>rc102C10</x:v>
      </x:c>
      <x:c r="E150" s="19" t="n">
        <x:v>65</x:v>
      </x:c>
      <x:c r="F150" s="18" t="str">
        <x:v>RC</x:v>
      </x:c>
      <x:c r="G150" s="19" t="n">
        <x:v>10</x:v>
      </x:c>
      <x:c r="H150" s="18" t="n">
        <x:v>1</x:v>
      </x:c>
      <x:c r="I150" s="19" t="n">
        <x:v>4</x:v>
      </x:c>
      <x:c r="J150" s="20" t="n">
        <x:v>423.510182</x:v>
      </x:c>
      <x:c r="K150" s="20" t="n">
        <x:v>9.57764</x:v>
      </x:c>
      <x:c r="L150" s="19" t="n">
        <x:v>1000</x:v>
      </x:c>
      <x:c r="M150" s="19" t="n">
        <x:v>0</x:v>
      </x:c>
      <x:c r="N150" s="19" t="n">
        <x:v>980</x:v>
      </x:c>
      <x:c r="O150" s="19" t="n">
        <x:v>0</x:v>
      </x:c>
      <x:c r="P150" s="19" t="n">
        <x:v>980</x:v>
      </x:c>
      <x:c r="Q150" s="19" t="n">
        <x:v>0</x:v>
      </x:c>
      <x:c r="R150" s="21" t="n">
        <x:f>P150/L150</x:f>
        <x:v>0.98</x:v>
      </x:c>
      <x:c r="S150" s="18" t="str">
        <x:v>iteration_limit</x:v>
      </x:c>
      <x:c r="T150" s="22" t="b">
        <x:v>0</x:v>
      </x:c>
      <x:c r="U150" s="19" t="n">
        <x:v>0</x:v>
      </x:c>
      <x:c r="V150" s="19" t="n">
        <x:v>0</x:v>
      </x:c>
      <x:c r="W150" s="19" t="n">
        <x:v>0</x:v>
      </x:c>
      <x:c r="X150" s="22" t="b">
        <x:v>0</x:v>
      </x:c>
      <x:c r="Y150" s="20" t="n">
        <x:v>0</x:v>
      </x:c>
      <x:c r="Z150" s="20" t="n">
        <x:v>0</x:v>
      </x:c>
      <x:c r="AA150" s="20" t="n">
        <x:v>0</x:v>
      </x:c>
      <x:c r="AB150" s="20" t="n">
        <x:v>0.51776</x:v>
      </x:c>
      <x:c r="AC150" s="20" t="n">
        <x:v>3</x:v>
      </x:c>
      <x:c r="AD150" s="20" t="n">
        <x:v>69.382613</x:v>
      </x:c>
      <x:c r="AE150" s="20" t="n">
        <x:v>86.835319</x:v>
      </x:c>
      <x:c r="AF150" s="18" t="str">
        <x:v>{"random_removal": 1.0, "related_removal": 1.0, "worst_removal": 1.0}</x:v>
      </x:c>
      <x:c r="AG150" s="18" t="str">
        <x:v>{"greedy_insertion": 1.0, "regret_2_insertion": 1.0}</x:v>
      </x:c>
      <x:c r="AH150" s="18" t="str">
        <x:v>[["D0", "C57", "C49", "S15", "C92", "C54", "D0"], ["D0", "C44", "S1", "C26", "S19", "D0"], ["D0", "C45", "C70", "D0"], ["D0", "C53", "C11", "D0"]]</x:v>
      </x:c>
    </x:row>
    <x:row r="151">
      <x:c r="A151" s="18" t="str">
        <x:v>results/week6/ablation_no_adaptive/alns_evrptw_summary.csv</x:v>
      </x:c>
      <x:c r="B151" s="18" t="str">
        <x:v>No_Adaptive</x:v>
      </x:c>
      <x:c r="C151" s="18" t="str">
        <x:v>ALNS_EVRPTW_FULL_RECHARGE</x:v>
      </x:c>
      <x:c r="D151" s="18" t="str">
        <x:v>rc102C10</x:v>
      </x:c>
      <x:c r="E151" s="19" t="n">
        <x:v>66</x:v>
      </x:c>
      <x:c r="F151" s="18" t="str">
        <x:v>RC</x:v>
      </x:c>
      <x:c r="G151" s="19" t="n">
        <x:v>10</x:v>
      </x:c>
      <x:c r="H151" s="18" t="n">
        <x:v>1</x:v>
      </x:c>
      <x:c r="I151" s="19" t="n">
        <x:v>4</x:v>
      </x:c>
      <x:c r="J151" s="20" t="n">
        <x:v>423.510182</x:v>
      </x:c>
      <x:c r="K151" s="20" t="n">
        <x:v>9.008537</x:v>
      </x:c>
      <x:c r="L151" s="19" t="n">
        <x:v>1000</x:v>
      </x:c>
      <x:c r="M151" s="19" t="n">
        <x:v>0</x:v>
      </x:c>
      <x:c r="N151" s="19" t="n">
        <x:v>981</x:v>
      </x:c>
      <x:c r="O151" s="19" t="n">
        <x:v>1</x:v>
      </x:c>
      <x:c r="P151" s="19" t="n">
        <x:v>979</x:v>
      </x:c>
      <x:c r="Q151" s="19" t="n">
        <x:v>1</x:v>
      </x:c>
      <x:c r="R151" s="21" t="n">
        <x:f>P151/L151</x:f>
        <x:v>0.979</x:v>
      </x:c>
      <x:c r="S151" s="18" t="str">
        <x:v>iteration_limit</x:v>
      </x:c>
      <x:c r="T151" s="22" t="b">
        <x:v>0</x:v>
      </x:c>
      <x:c r="U151" s="19" t="n">
        <x:v>0</x:v>
      </x:c>
      <x:c r="V151" s="19" t="n">
        <x:v>0</x:v>
      </x:c>
      <x:c r="W151" s="19" t="n">
        <x:v>0</x:v>
      </x:c>
      <x:c r="X151" s="22" t="b">
        <x:v>0</x:v>
      </x:c>
      <x:c r="Y151" s="20" t="n">
        <x:v>0</x:v>
      </x:c>
      <x:c r="Z151" s="20" t="n">
        <x:v>0</x:v>
      </x:c>
      <x:c r="AA151" s="20" t="n">
        <x:v>0</x:v>
      </x:c>
      <x:c r="AB151" s="20" t="n">
        <x:v>0.51776</x:v>
      </x:c>
      <x:c r="AC151" s="20" t="n">
        <x:v>3</x:v>
      </x:c>
      <x:c r="AD151" s="20" t="n">
        <x:v>69.382613</x:v>
      </x:c>
      <x:c r="AE151" s="20" t="n">
        <x:v>86.835319</x:v>
      </x:c>
      <x:c r="AF151" s="18" t="str">
        <x:v>{"random_removal": 1.0, "related_removal": 1.0, "worst_removal": 1.0}</x:v>
      </x:c>
      <x:c r="AG151" s="18" t="str">
        <x:v>{"greedy_insertion": 1.0, "regret_2_insertion": 1.0}</x:v>
      </x:c>
      <x:c r="AH151" s="18" t="str">
        <x:v>[["D0", "C57", "C49", "S15", "C92", "C54", "D0"], ["D0", "C44", "S1", "C26", "S19", "D0"], ["D0", "C45", "C70", "D0"], ["D0", "C53", "C11", "D0"]]</x:v>
      </x:c>
    </x:row>
    <x:row r="152">
      <x:c r="A152" s="18" t="str">
        <x:v>results/week6/ablation_no_adaptive/alns_evrptw_summary.csv</x:v>
      </x:c>
      <x:c r="B152" s="18" t="str">
        <x:v>No_Adaptive</x:v>
      </x:c>
      <x:c r="C152" s="18" t="str">
        <x:v>ALNS_EVRPTW_FULL_RECHARGE</x:v>
      </x:c>
      <x:c r="D152" s="18" t="str">
        <x:v>rc103C15</x:v>
      </x:c>
      <x:c r="E152" s="19" t="n">
        <x:v>64</x:v>
      </x:c>
      <x:c r="F152" s="18" t="str">
        <x:v>RC</x:v>
      </x:c>
      <x:c r="G152" s="19" t="n">
        <x:v>15</x:v>
      </x:c>
      <x:c r="H152" s="18" t="n">
        <x:v>1</x:v>
      </x:c>
      <x:c r="I152" s="19" t="n">
        <x:v>4</x:v>
      </x:c>
      <x:c r="J152" s="20" t="n">
        <x:v>397.669857</x:v>
      </x:c>
      <x:c r="K152" s="20" t="n">
        <x:v>50.960687</x:v>
      </x:c>
      <x:c r="L152" s="19" t="n">
        <x:v>1000</x:v>
      </x:c>
      <x:c r="M152" s="19" t="n">
        <x:v>12</x:v>
      </x:c>
      <x:c r="N152" s="19" t="n">
        <x:v>901</x:v>
      </x:c>
      <x:c r="O152" s="19" t="n">
        <x:v>22</x:v>
      </x:c>
      <x:c r="P152" s="19" t="n">
        <x:v>864</x:v>
      </x:c>
      <x:c r="Q152" s="19" t="n">
        <x:v>15</x:v>
      </x:c>
      <x:c r="R152" s="21" t="n">
        <x:f>P152/L152</x:f>
        <x:v>0.864</x:v>
      </x:c>
      <x:c r="S152" s="18" t="str">
        <x:v>iteration_limit</x:v>
      </x:c>
      <x:c r="T152" s="22" t="b">
        <x:v>0</x:v>
      </x:c>
      <x:c r="U152" s="19" t="n">
        <x:v>0</x:v>
      </x:c>
      <x:c r="V152" s="19" t="n">
        <x:v>0</x:v>
      </x:c>
      <x:c r="W152" s="19" t="n">
        <x:v>0</x:v>
      </x:c>
      <x:c r="X152" s="22" t="b">
        <x:v>0</x:v>
      </x:c>
      <x:c r="Y152" s="20" t="n">
        <x:v>0</x:v>
      </x:c>
      <x:c r="Z152" s="20" t="n">
        <x:v>0</x:v>
      </x:c>
      <x:c r="AA152" s="20" t="n">
        <x:v>0</x:v>
      </x:c>
      <x:c r="AB152" s="20" t="n">
        <x:v>9.161259</x:v>
      </x:c>
      <x:c r="AC152" s="20" t="n">
        <x:v>4</x:v>
      </x:c>
      <x:c r="AD152" s="20" t="n">
        <x:v>70.648986</x:v>
      </x:c>
      <x:c r="AE152" s="20" t="n">
        <x:v>201.597326</x:v>
      </x:c>
      <x:c r="AF152" s="18" t="str">
        <x:v>{"random_removal": 1.0, "related_removal": 1.0, "worst_removal": 1.0}</x:v>
      </x:c>
      <x:c r="AG152" s="18" t="str">
        <x:v>{"greedy_insertion": 1.0, "regret_2_insertion": 1.0}</x:v>
      </x:c>
      <x:c r="AH152" s="18" t="str">
        <x:v>[["D0", "C65", "C83", "C87", "S11", "C15", "D0"], ["D0", "S3", "C39", "C72", "C90", "D0"], ["D0", "C84", "S19", "C33", "C34", "C62", "D0"], ["D0", "C100", "C6", "C8", "S7", "C70", "D0"]]</x:v>
      </x:c>
    </x:row>
    <x:row r="153">
      <x:c r="A153" s="18" t="str">
        <x:v>results/week6/ablation_no_adaptive/alns_evrptw_summary.csv</x:v>
      </x:c>
      <x:c r="B153" s="18" t="str">
        <x:v>No_Adaptive</x:v>
      </x:c>
      <x:c r="C153" s="18" t="str">
        <x:v>ALNS_EVRPTW_FULL_RECHARGE</x:v>
      </x:c>
      <x:c r="D153" s="18" t="str">
        <x:v>rc103C15</x:v>
      </x:c>
      <x:c r="E153" s="19" t="n">
        <x:v>65</x:v>
      </x:c>
      <x:c r="F153" s="18" t="str">
        <x:v>RC</x:v>
      </x:c>
      <x:c r="G153" s="19" t="n">
        <x:v>15</x:v>
      </x:c>
      <x:c r="H153" s="18" t="n">
        <x:v>1</x:v>
      </x:c>
      <x:c r="I153" s="19" t="n">
        <x:v>4</x:v>
      </x:c>
      <x:c r="J153" s="20" t="n">
        <x:v>397.669857</x:v>
      </x:c>
      <x:c r="K153" s="20" t="n">
        <x:v>52.312997</x:v>
      </x:c>
      <x:c r="L153" s="19" t="n">
        <x:v>1000</x:v>
      </x:c>
      <x:c r="M153" s="19" t="n">
        <x:v>6</x:v>
      </x:c>
      <x:c r="N153" s="19" t="n">
        <x:v>905</x:v>
      </x:c>
      <x:c r="O153" s="19" t="n">
        <x:v>20</x:v>
      </x:c>
      <x:c r="P153" s="19" t="n">
        <x:v>871</x:v>
      </x:c>
      <x:c r="Q153" s="19" t="n">
        <x:v>14</x:v>
      </x:c>
      <x:c r="R153" s="21" t="n">
        <x:f>P153/L153</x:f>
        <x:v>0.871</x:v>
      </x:c>
      <x:c r="S153" s="18" t="str">
        <x:v>iteration_limit</x:v>
      </x:c>
      <x:c r="T153" s="22" t="b">
        <x:v>0</x:v>
      </x:c>
      <x:c r="U153" s="19" t="n">
        <x:v>0</x:v>
      </x:c>
      <x:c r="V153" s="19" t="n">
        <x:v>0</x:v>
      </x:c>
      <x:c r="W153" s="19" t="n">
        <x:v>0</x:v>
      </x:c>
      <x:c r="X153" s="22" t="b">
        <x:v>0</x:v>
      </x:c>
      <x:c r="Y153" s="20" t="n">
        <x:v>0</x:v>
      </x:c>
      <x:c r="Z153" s="20" t="n">
        <x:v>0</x:v>
      </x:c>
      <x:c r="AA153" s="20" t="n">
        <x:v>0</x:v>
      </x:c>
      <x:c r="AB153" s="20" t="n">
        <x:v>9.161259</x:v>
      </x:c>
      <x:c r="AC153" s="20" t="n">
        <x:v>4</x:v>
      </x:c>
      <x:c r="AD153" s="20" t="n">
        <x:v>67.687714</x:v>
      </x:c>
      <x:c r="AE153" s="20" t="n">
        <x:v>190.390032</x:v>
      </x:c>
      <x:c r="AF153" s="18" t="str">
        <x:v>{"random_removal": 1.0, "related_removal": 1.0, "worst_removal": 1.0}</x:v>
      </x:c>
      <x:c r="AG153" s="18" t="str">
        <x:v>{"greedy_insertion": 1.0, "regret_2_insertion": 1.0}</x:v>
      </x:c>
      <x:c r="AH153" s="18" t="str">
        <x:v>[["D0", "C65", "C83", "C87", "S11", "C15", "D0"], ["D0", "S3", "C39", "C72", "C90", "D0"], ["D0", "C84", "S19", "C33", "C34", "C62", "D0"], ["D0", "C70", "S7", "C8", "C6", "C100", "D0"]]</x:v>
      </x:c>
    </x:row>
    <x:row r="154">
      <x:c r="A154" s="18" t="str">
        <x:v>results/week6/ablation_no_adaptive/alns_evrptw_summary.csv</x:v>
      </x:c>
      <x:c r="B154" s="18" t="str">
        <x:v>No_Adaptive</x:v>
      </x:c>
      <x:c r="C154" s="18" t="str">
        <x:v>ALNS_EVRPTW_FULL_RECHARGE</x:v>
      </x:c>
      <x:c r="D154" s="18" t="str">
        <x:v>rc103C15</x:v>
      </x:c>
      <x:c r="E154" s="19" t="n">
        <x:v>66</x:v>
      </x:c>
      <x:c r="F154" s="18" t="str">
        <x:v>RC</x:v>
      </x:c>
      <x:c r="G154" s="19" t="n">
        <x:v>15</x:v>
      </x:c>
      <x:c r="H154" s="18" t="n">
        <x:v>1</x:v>
      </x:c>
      <x:c r="I154" s="19" t="n">
        <x:v>4</x:v>
      </x:c>
      <x:c r="J154" s="20" t="n">
        <x:v>397.669857</x:v>
      </x:c>
      <x:c r="K154" s="20" t="n">
        <x:v>52.959546</x:v>
      </x:c>
      <x:c r="L154" s="19" t="n">
        <x:v>1000</x:v>
      </x:c>
      <x:c r="M154" s="19" t="n">
        <x:v>4</x:v>
      </x:c>
      <x:c r="N154" s="19" t="n">
        <x:v>901</x:v>
      </x:c>
      <x:c r="O154" s="19" t="n">
        <x:v>15</x:v>
      </x:c>
      <x:c r="P154" s="19" t="n">
        <x:v>876</x:v>
      </x:c>
      <x:c r="Q154" s="19" t="n">
        <x:v>10</x:v>
      </x:c>
      <x:c r="R154" s="21" t="n">
        <x:f>P154/L154</x:f>
        <x:v>0.876</x:v>
      </x:c>
      <x:c r="S154" s="18" t="str">
        <x:v>iteration_limit</x:v>
      </x:c>
      <x:c r="T154" s="22" t="b">
        <x:v>0</x:v>
      </x:c>
      <x:c r="U154" s="19" t="n">
        <x:v>0</x:v>
      </x:c>
      <x:c r="V154" s="19" t="n">
        <x:v>0</x:v>
      </x:c>
      <x:c r="W154" s="19" t="n">
        <x:v>0</x:v>
      </x:c>
      <x:c r="X154" s="22" t="b">
        <x:v>0</x:v>
      </x:c>
      <x:c r="Y154" s="20" t="n">
        <x:v>0</x:v>
      </x:c>
      <x:c r="Z154" s="20" t="n">
        <x:v>0</x:v>
      </x:c>
      <x:c r="AA154" s="20" t="n">
        <x:v>0</x:v>
      </x:c>
      <x:c r="AB154" s="20" t="n">
        <x:v>9.161259</x:v>
      </x:c>
      <x:c r="AC154" s="20" t="n">
        <x:v>4</x:v>
      </x:c>
      <x:c r="AD154" s="20" t="n">
        <x:v>70.648986</x:v>
      </x:c>
      <x:c r="AE154" s="20" t="n">
        <x:v>201.597326</x:v>
      </x:c>
      <x:c r="AF154" s="18" t="str">
        <x:v>{"random_removal": 1.0, "related_removal": 1.0, "worst_removal": 1.0}</x:v>
      </x:c>
      <x:c r="AG154" s="18" t="str">
        <x:v>{"greedy_insertion": 1.0, "regret_2_insertion": 1.0}</x:v>
      </x:c>
      <x:c r="AH154" s="18" t="str">
        <x:v>[["D0", "C65", "C83", "C87", "S11", "C15", "D0"], ["D0", "C100", "C6", "C8", "S7", "C70", "D0"], ["D0", "S3", "C39", "C72", "C90", "D0"], ["D0", "C84", "S19", "C33", "C34", "C62", "D0"]]</x:v>
      </x:c>
    </x:row>
    <x:row r="155">
      <x:c r="A155" s="18" t="str">
        <x:v>results/week6/ablation_no_adaptive/alns_evrptw_summary.csv</x:v>
      </x:c>
      <x:c r="B155" s="18" t="str">
        <x:v>No_Adaptive</x:v>
      </x:c>
      <x:c r="C155" s="18" t="str">
        <x:v>ALNS_EVRPTW_FULL_RECHARGE</x:v>
      </x:c>
      <x:c r="D155" s="18" t="str">
        <x:v>rc204C5</x:v>
      </x:c>
      <x:c r="E155" s="19" t="n">
        <x:v>64</x:v>
      </x:c>
      <x:c r="F155" s="18" t="str">
        <x:v>RC</x:v>
      </x:c>
      <x:c r="G155" s="19" t="n">
        <x:v>5</x:v>
      </x:c>
      <x:c r="H155" s="18" t="n">
        <x:v>1</x:v>
      </x:c>
      <x:c r="I155" s="19" t="n">
        <x:v>1</x:v>
      </x:c>
      <x:c r="J155" s="20" t="n">
        <x:v>179.162472</x:v>
      </x:c>
      <x:c r="K155" s="20" t="n">
        <x:v>3.76679</x:v>
      </x:c>
      <x:c r="L155" s="19" t="n">
        <x:v>1000</x:v>
      </x:c>
      <x:c r="M155" s="19" t="n">
        <x:v>4</x:v>
      </x:c>
      <x:c r="N155" s="19" t="n">
        <x:v>1000</x:v>
      </x:c>
      <x:c r="O155" s="19" t="n">
        <x:v>1</x:v>
      </x:c>
      <x:c r="P155" s="19" t="n">
        <x:v>999</x:v>
      </x:c>
      <x:c r="Q155" s="19" t="n">
        <x:v>0</x:v>
      </x:c>
      <x:c r="R155" s="21" t="n">
        <x:f>P155/L155</x:f>
        <x:v>0.999</x:v>
      </x:c>
      <x:c r="S155" s="18" t="str">
        <x:v>iteration_limit</x:v>
      </x:c>
      <x:c r="T155" s="22" t="b">
        <x:v>0</x:v>
      </x:c>
      <x:c r="U155" s="19" t="n">
        <x:v>0</x:v>
      </x:c>
      <x:c r="V155" s="19" t="n">
        <x:v>0</x:v>
      </x:c>
      <x:c r="W155" s="19" t="n">
        <x:v>0</x:v>
      </x:c>
      <x:c r="X155" s="22" t="b">
        <x:v>0</x:v>
      </x:c>
      <x:c r="Y155" s="20" t="n">
        <x:v>0</x:v>
      </x:c>
      <x:c r="Z155" s="20" t="n">
        <x:v>0</x:v>
      </x:c>
      <x:c r="AA155" s="20" t="n">
        <x:v>0</x:v>
      </x:c>
      <x:c r="AB155" s="20" t="n">
        <x:v>7.467526</x:v>
      </x:c>
      <x:c r="AC155" s="20" t="n">
        <x:v>2</x:v>
      </x:c>
      <x:c r="AD155" s="20" t="n">
        <x:v>43.556353</x:v>
      </x:c>
      <x:c r="AE155" s="20" t="n">
        <x:v>653.557856</x:v>
      </x:c>
      <x:c r="AF155" s="18" t="str">
        <x:v>{"random_removal": 1.0, "related_removal": 1.0, "worst_removal": 1.0}</x:v>
      </x:c>
      <x:c r="AG155" s="18" t="str">
        <x:v>{"greedy_insertion": 1.0, "regret_2_insertion": 1.0}</x:v>
      </x:c>
      <x:c r="AH155" s="18" t="str">
        <x:v>[["D0", "C81", "C4", "S9", "S15", "C23", "C19", "C49", "D0"]]</x:v>
      </x:c>
    </x:row>
    <x:row r="156">
      <x:c r="A156" s="18" t="str">
        <x:v>results/week6/ablation_no_adaptive/alns_evrptw_summary.csv</x:v>
      </x:c>
      <x:c r="B156" s="18" t="str">
        <x:v>No_Adaptive</x:v>
      </x:c>
      <x:c r="C156" s="18" t="str">
        <x:v>ALNS_EVRPTW_FULL_RECHARGE</x:v>
      </x:c>
      <x:c r="D156" s="18" t="str">
        <x:v>rc204C5</x:v>
      </x:c>
      <x:c r="E156" s="19" t="n">
        <x:v>65</x:v>
      </x:c>
      <x:c r="F156" s="18" t="str">
        <x:v>RC</x:v>
      </x:c>
      <x:c r="G156" s="19" t="n">
        <x:v>5</x:v>
      </x:c>
      <x:c r="H156" s="18" t="n">
        <x:v>1</x:v>
      </x:c>
      <x:c r="I156" s="19" t="n">
        <x:v>1</x:v>
      </x:c>
      <x:c r="J156" s="20" t="n">
        <x:v>179.162472</x:v>
      </x:c>
      <x:c r="K156" s="20" t="n">
        <x:v>3.57628</x:v>
      </x:c>
      <x:c r="L156" s="19" t="n">
        <x:v>1000</x:v>
      </x:c>
      <x:c r="M156" s="19" t="n">
        <x:v>2</x:v>
      </x:c>
      <x:c r="N156" s="19" t="n">
        <x:v>1000</x:v>
      </x:c>
      <x:c r="O156" s="19" t="n">
        <x:v>1</x:v>
      </x:c>
      <x:c r="P156" s="19" t="n">
        <x:v>999</x:v>
      </x:c>
      <x:c r="Q156" s="19" t="n">
        <x:v>0</x:v>
      </x:c>
      <x:c r="R156" s="21" t="n">
        <x:f>P156/L156</x:f>
        <x:v>0.999</x:v>
      </x:c>
      <x:c r="S156" s="18" t="str">
        <x:v>iteration_limit</x:v>
      </x:c>
      <x:c r="T156" s="22" t="b">
        <x:v>0</x:v>
      </x:c>
      <x:c r="U156" s="19" t="n">
        <x:v>0</x:v>
      </x:c>
      <x:c r="V156" s="19" t="n">
        <x:v>0</x:v>
      </x:c>
      <x:c r="W156" s="19" t="n">
        <x:v>0</x:v>
      </x:c>
      <x:c r="X156" s="22" t="b">
        <x:v>0</x:v>
      </x:c>
      <x:c r="Y156" s="20" t="n">
        <x:v>0</x:v>
      </x:c>
      <x:c r="Z156" s="20" t="n">
        <x:v>0</x:v>
      </x:c>
      <x:c r="AA156" s="20" t="n">
        <x:v>0</x:v>
      </x:c>
      <x:c r="AB156" s="20" t="n">
        <x:v>7.467526</x:v>
      </x:c>
      <x:c r="AC156" s="20" t="n">
        <x:v>2</x:v>
      </x:c>
      <x:c r="AD156" s="20" t="n">
        <x:v>43.556353</x:v>
      </x:c>
      <x:c r="AE156" s="20" t="n">
        <x:v>653.557856</x:v>
      </x:c>
      <x:c r="AF156" s="18" t="str">
        <x:v>{"random_removal": 1.0, "related_removal": 1.0, "worst_removal": 1.0}</x:v>
      </x:c>
      <x:c r="AG156" s="18" t="str">
        <x:v>{"greedy_insertion": 1.0, "regret_2_insertion": 1.0}</x:v>
      </x:c>
      <x:c r="AH156" s="18" t="str">
        <x:v>[["D0", "C81", "C4", "S9", "S15", "C23", "C19", "C49", "D0"]]</x:v>
      </x:c>
    </x:row>
    <x:row r="157">
      <x:c r="A157" s="18" t="str">
        <x:v>results/week6/ablation_no_adaptive/alns_evrptw_summary.csv</x:v>
      </x:c>
      <x:c r="B157" s="18" t="str">
        <x:v>No_Adaptive</x:v>
      </x:c>
      <x:c r="C157" s="18" t="str">
        <x:v>ALNS_EVRPTW_FULL_RECHARGE</x:v>
      </x:c>
      <x:c r="D157" s="18" t="str">
        <x:v>rc204C5</x:v>
      </x:c>
      <x:c r="E157" s="19" t="n">
        <x:v>66</x:v>
      </x:c>
      <x:c r="F157" s="18" t="str">
        <x:v>RC</x:v>
      </x:c>
      <x:c r="G157" s="19" t="n">
        <x:v>5</x:v>
      </x:c>
      <x:c r="H157" s="18" t="n">
        <x:v>1</x:v>
      </x:c>
      <x:c r="I157" s="19" t="n">
        <x:v>1</x:v>
      </x:c>
      <x:c r="J157" s="20" t="n">
        <x:v>179.162472</x:v>
      </x:c>
      <x:c r="K157" s="20" t="n">
        <x:v>3.391905</x:v>
      </x:c>
      <x:c r="L157" s="19" t="n">
        <x:v>1000</x:v>
      </x:c>
      <x:c r="M157" s="19" t="n">
        <x:v>3</x:v>
      </x:c>
      <x:c r="N157" s="19" t="n">
        <x:v>1000</x:v>
      </x:c>
      <x:c r="O157" s="19" t="n">
        <x:v>1</x:v>
      </x:c>
      <x:c r="P157" s="19" t="n">
        <x:v>999</x:v>
      </x:c>
      <x:c r="Q157" s="19" t="n">
        <x:v>0</x:v>
      </x:c>
      <x:c r="R157" s="21" t="n">
        <x:f>P157/L157</x:f>
        <x:v>0.999</x:v>
      </x:c>
      <x:c r="S157" s="18" t="str">
        <x:v>iteration_limit</x:v>
      </x:c>
      <x:c r="T157" s="22" t="b">
        <x:v>0</x:v>
      </x:c>
      <x:c r="U157" s="19" t="n">
        <x:v>0</x:v>
      </x:c>
      <x:c r="V157" s="19" t="n">
        <x:v>0</x:v>
      </x:c>
      <x:c r="W157" s="19" t="n">
        <x:v>0</x:v>
      </x:c>
      <x:c r="X157" s="22" t="b">
        <x:v>0</x:v>
      </x:c>
      <x:c r="Y157" s="20" t="n">
        <x:v>0</x:v>
      </x:c>
      <x:c r="Z157" s="20" t="n">
        <x:v>0</x:v>
      </x:c>
      <x:c r="AA157" s="20" t="n">
        <x:v>0</x:v>
      </x:c>
      <x:c r="AB157" s="20" t="n">
        <x:v>7.467526</x:v>
      </x:c>
      <x:c r="AC157" s="20" t="n">
        <x:v>2</x:v>
      </x:c>
      <x:c r="AD157" s="20" t="n">
        <x:v>43.556353</x:v>
      </x:c>
      <x:c r="AE157" s="20" t="n">
        <x:v>653.557856</x:v>
      </x:c>
      <x:c r="AF157" s="18" t="str">
        <x:v>{"random_removal": 1.0, "related_removal": 1.0, "worst_removal": 1.0}</x:v>
      </x:c>
      <x:c r="AG157" s="18" t="str">
        <x:v>{"greedy_insertion": 1.0, "regret_2_insertion": 1.0}</x:v>
      </x:c>
      <x:c r="AH157" s="18" t="str">
        <x:v>[["D0", "C81", "C4", "S9", "S15", "C23", "C19", "C49", "D0"]]</x:v>
      </x:c>
    </x:row>
    <x:row r="158">
      <x:c r="A158" s="18" t="str">
        <x:v>results/week6/ablation_no_adaptive/alns_evrptw_summary.csv</x:v>
      </x:c>
      <x:c r="B158" s="18" t="str">
        <x:v>No_Adaptive</x:v>
      </x:c>
      <x:c r="C158" s="18" t="str">
        <x:v>ALNS_EVRPTW_FULL_RECHARGE</x:v>
      </x:c>
      <x:c r="D158" s="18" t="str">
        <x:v>rc201C10</x:v>
      </x:c>
      <x:c r="E158" s="19" t="n">
        <x:v>64</x:v>
      </x:c>
      <x:c r="F158" s="18" t="str">
        <x:v>RC</x:v>
      </x:c>
      <x:c r="G158" s="19" t="n">
        <x:v>10</x:v>
      </x:c>
      <x:c r="H158" s="18" t="n">
        <x:v>1</x:v>
      </x:c>
      <x:c r="I158" s="19" t="n">
        <x:v>1</x:v>
      </x:c>
      <x:c r="J158" s="20" t="n">
        <x:v>412.861395</x:v>
      </x:c>
      <x:c r="K158" s="20" t="n">
        <x:v>23.389883</x:v>
      </x:c>
      <x:c r="L158" s="19" t="n">
        <x:v>1000</x:v>
      </x:c>
      <x:c r="M158" s="19" t="n">
        <x:v>0</x:v>
      </x:c>
      <x:c r="N158" s="19" t="n">
        <x:v>992</x:v>
      </x:c>
      <x:c r="O158" s="19" t="n">
        <x:v>0</x:v>
      </x:c>
      <x:c r="P158" s="19" t="n">
        <x:v>992</x:v>
      </x:c>
      <x:c r="Q158" s="19" t="n">
        <x:v>0</x:v>
      </x:c>
      <x:c r="R158" s="21" t="n">
        <x:f>P158/L158</x:f>
        <x:v>0.992</x:v>
      </x:c>
      <x:c r="S158" s="18" t="str">
        <x:v>iteration_limit</x:v>
      </x:c>
      <x:c r="T158" s="22" t="b">
        <x:v>0</x:v>
      </x:c>
      <x:c r="U158" s="19" t="n">
        <x:v>0</x:v>
      </x:c>
      <x:c r="V158" s="19" t="n">
        <x:v>0</x:v>
      </x:c>
      <x:c r="W158" s="19" t="n">
        <x:v>0</x:v>
      </x:c>
      <x:c r="X158" s="22" t="b">
        <x:v>0</x:v>
      </x:c>
      <x:c r="Y158" s="20" t="n">
        <x:v>0</x:v>
      </x:c>
      <x:c r="Z158" s="20" t="n">
        <x:v>0</x:v>
      </x:c>
      <x:c r="AA158" s="20" t="n">
        <x:v>0</x:v>
      </x:c>
      <x:c r="AB158" s="20" t="n">
        <x:v>0.919251</x:v>
      </x:c>
      <x:c r="AC158" s="20" t="n">
        <x:v>6</x:v>
      </x:c>
      <x:c r="AD158" s="20" t="n">
        <x:v>134.878643</x:v>
      </x:c>
      <x:c r="AE158" s="20" t="n">
        <x:v>158.301557</x:v>
      </x:c>
      <x:c r="AF158" s="18" t="str">
        <x:v>{"random_removal": 1.0, "related_removal": 1.0, "worst_removal": 1.0}</x:v>
      </x:c>
      <x:c r="AG158" s="18" t="str">
        <x:v>{"greedy_insertion": 1.0, "regret_2_insertion": 1.0}</x:v>
      </x:c>
      <x:c r="AH158" s="18" t="str">
        <x:v>[["D0", "S9", "C79", "C43", "S3", "C62", "S0", "C98", "C14", "S0", "C93", "C54", "S0", "C88", "S15", "C22", "C81", "D0"]]</x:v>
      </x:c>
    </x:row>
    <x:row r="159">
      <x:c r="A159" s="18" t="str">
        <x:v>results/week6/ablation_no_adaptive/alns_evrptw_summary.csv</x:v>
      </x:c>
      <x:c r="B159" s="18" t="str">
        <x:v>No_Adaptive</x:v>
      </x:c>
      <x:c r="C159" s="18" t="str">
        <x:v>ALNS_EVRPTW_FULL_RECHARGE</x:v>
      </x:c>
      <x:c r="D159" s="18" t="str">
        <x:v>rc201C10</x:v>
      </x:c>
      <x:c r="E159" s="19" t="n">
        <x:v>65</x:v>
      </x:c>
      <x:c r="F159" s="18" t="str">
        <x:v>RC</x:v>
      </x:c>
      <x:c r="G159" s="19" t="n">
        <x:v>10</x:v>
      </x:c>
      <x:c r="H159" s="18" t="n">
        <x:v>1</x:v>
      </x:c>
      <x:c r="I159" s="19" t="n">
        <x:v>1</x:v>
      </x:c>
      <x:c r="J159" s="20" t="n">
        <x:v>412.861395</x:v>
      </x:c>
      <x:c r="K159" s="20" t="n">
        <x:v>24.814251</x:v>
      </x:c>
      <x:c r="L159" s="19" t="n">
        <x:v>1000</x:v>
      </x:c>
      <x:c r="M159" s="19" t="n">
        <x:v>0</x:v>
      </x:c>
      <x:c r="N159" s="19" t="n">
        <x:v>997</x:v>
      </x:c>
      <x:c r="O159" s="19" t="n">
        <x:v>0</x:v>
      </x:c>
      <x:c r="P159" s="19" t="n">
        <x:v>997</x:v>
      </x:c>
      <x:c r="Q159" s="19" t="n">
        <x:v>0</x:v>
      </x:c>
      <x:c r="R159" s="21" t="n">
        <x:f>P159/L159</x:f>
        <x:v>0.997</x:v>
      </x:c>
      <x:c r="S159" s="18" t="str">
        <x:v>iteration_limit</x:v>
      </x:c>
      <x:c r="T159" s="22" t="b">
        <x:v>0</x:v>
      </x:c>
      <x:c r="U159" s="19" t="n">
        <x:v>0</x:v>
      </x:c>
      <x:c r="V159" s="19" t="n">
        <x:v>0</x:v>
      </x:c>
      <x:c r="W159" s="19" t="n">
        <x:v>0</x:v>
      </x:c>
      <x:c r="X159" s="22" t="b">
        <x:v>0</x:v>
      </x:c>
      <x:c r="Y159" s="20" t="n">
        <x:v>0</x:v>
      </x:c>
      <x:c r="Z159" s="20" t="n">
        <x:v>0</x:v>
      </x:c>
      <x:c r="AA159" s="20" t="n">
        <x:v>0</x:v>
      </x:c>
      <x:c r="AB159" s="20" t="n">
        <x:v>0.919251</x:v>
      </x:c>
      <x:c r="AC159" s="20" t="n">
        <x:v>6</x:v>
      </x:c>
      <x:c r="AD159" s="20" t="n">
        <x:v>134.878643</x:v>
      </x:c>
      <x:c r="AE159" s="20" t="n">
        <x:v>158.301557</x:v>
      </x:c>
      <x:c r="AF159" s="18" t="str">
        <x:v>{"random_removal": 1.0, "related_removal": 1.0, "worst_removal": 1.0}</x:v>
      </x:c>
      <x:c r="AG159" s="18" t="str">
        <x:v>{"greedy_insertion": 1.0, "regret_2_insertion": 1.0}</x:v>
      </x:c>
      <x:c r="AH159" s="18" t="str">
        <x:v>[["D0", "S9", "C79", "C43", "S3", "C62", "S0", "C98", "C14", "S0", "C93", "C54", "S0", "C88", "S15", "C22", "C81", "D0"]]</x:v>
      </x:c>
    </x:row>
    <x:row r="160">
      <x:c r="A160" s="18" t="str">
        <x:v>results/week6/ablation_no_adaptive/alns_evrptw_summary.csv</x:v>
      </x:c>
      <x:c r="B160" s="18" t="str">
        <x:v>No_Adaptive</x:v>
      </x:c>
      <x:c r="C160" s="18" t="str">
        <x:v>ALNS_EVRPTW_FULL_RECHARGE</x:v>
      </x:c>
      <x:c r="D160" s="18" t="str">
        <x:v>rc201C10</x:v>
      </x:c>
      <x:c r="E160" s="19" t="n">
        <x:v>66</x:v>
      </x:c>
      <x:c r="F160" s="18" t="str">
        <x:v>RC</x:v>
      </x:c>
      <x:c r="G160" s="19" t="n">
        <x:v>10</x:v>
      </x:c>
      <x:c r="H160" s="18" t="n">
        <x:v>1</x:v>
      </x:c>
      <x:c r="I160" s="19" t="n">
        <x:v>1</x:v>
      </x:c>
      <x:c r="J160" s="20" t="n">
        <x:v>412.861395</x:v>
      </x:c>
      <x:c r="K160" s="20" t="n">
        <x:v>23.456692</x:v>
      </x:c>
      <x:c r="L160" s="19" t="n">
        <x:v>1000</x:v>
      </x:c>
      <x:c r="M160" s="19" t="n">
        <x:v>0</x:v>
      </x:c>
      <x:c r="N160" s="19" t="n">
        <x:v>994</x:v>
      </x:c>
      <x:c r="O160" s="19" t="n">
        <x:v>0</x:v>
      </x:c>
      <x:c r="P160" s="19" t="n">
        <x:v>994</x:v>
      </x:c>
      <x:c r="Q160" s="19" t="n">
        <x:v>0</x:v>
      </x:c>
      <x:c r="R160" s="21" t="n">
        <x:f>P160/L160</x:f>
        <x:v>0.994</x:v>
      </x:c>
      <x:c r="S160" s="18" t="str">
        <x:v>iteration_limit</x:v>
      </x:c>
      <x:c r="T160" s="22" t="b">
        <x:v>0</x:v>
      </x:c>
      <x:c r="U160" s="19" t="n">
        <x:v>0</x:v>
      </x:c>
      <x:c r="V160" s="19" t="n">
        <x:v>0</x:v>
      </x:c>
      <x:c r="W160" s="19" t="n">
        <x:v>0</x:v>
      </x:c>
      <x:c r="X160" s="22" t="b">
        <x:v>0</x:v>
      </x:c>
      <x:c r="Y160" s="20" t="n">
        <x:v>0</x:v>
      </x:c>
      <x:c r="Z160" s="20" t="n">
        <x:v>0</x:v>
      </x:c>
      <x:c r="AA160" s="20" t="n">
        <x:v>0</x:v>
      </x:c>
      <x:c r="AB160" s="20" t="n">
        <x:v>0.919251</x:v>
      </x:c>
      <x:c r="AC160" s="20" t="n">
        <x:v>6</x:v>
      </x:c>
      <x:c r="AD160" s="20" t="n">
        <x:v>134.878643</x:v>
      </x:c>
      <x:c r="AE160" s="20" t="n">
        <x:v>158.301557</x:v>
      </x:c>
      <x:c r="AF160" s="18" t="str">
        <x:v>{"random_removal": 1.0, "related_removal": 1.0, "worst_removal": 1.0}</x:v>
      </x:c>
      <x:c r="AG160" s="18" t="str">
        <x:v>{"greedy_insertion": 1.0, "regret_2_insertion": 1.0}</x:v>
      </x:c>
      <x:c r="AH160" s="18" t="str">
        <x:v>[["D0", "S9", "C79", "C43", "S3", "C62", "S0", "C98", "C14", "S0", "C93", "C54", "S0", "C88", "S15", "C22", "C81", "D0"]]</x:v>
      </x:c>
    </x:row>
    <x:row r="161">
      <x:c r="A161" s="18" t="str">
        <x:v>results/week6/ablation_no_adaptive/alns_evrptw_summary.csv</x:v>
      </x:c>
      <x:c r="B161" s="18" t="str">
        <x:v>No_Adaptive</x:v>
      </x:c>
      <x:c r="C161" s="18" t="str">
        <x:v>ALNS_EVRPTW_FULL_RECHARGE</x:v>
      </x:c>
      <x:c r="D161" s="18" t="str">
        <x:v>rc202C15</x:v>
      </x:c>
      <x:c r="E161" s="19" t="n">
        <x:v>64</x:v>
      </x:c>
      <x:c r="F161" s="18" t="str">
        <x:v>RC</x:v>
      </x:c>
      <x:c r="G161" s="19" t="n">
        <x:v>15</x:v>
      </x:c>
      <x:c r="H161" s="18" t="n">
        <x:v>1</x:v>
      </x:c>
      <x:c r="I161" s="19" t="n">
        <x:v>2</x:v>
      </x:c>
      <x:c r="J161" s="20" t="n">
        <x:v>458.254671</x:v>
      </x:c>
      <x:c r="K161" s="20" t="n">
        <x:v>155.123522</x:v>
      </x:c>
      <x:c r="L161" s="19" t="n">
        <x:v>1000</x:v>
      </x:c>
      <x:c r="M161" s="19" t="n">
        <x:v>74</x:v>
      </x:c>
      <x:c r="N161" s="19" t="n">
        <x:v>608</x:v>
      </x:c>
      <x:c r="O161" s="19" t="n">
        <x:v>9</x:v>
      </x:c>
      <x:c r="P161" s="19" t="n">
        <x:v>596</x:v>
      </x:c>
      <x:c r="Q161" s="19" t="n">
        <x:v>3</x:v>
      </x:c>
      <x:c r="R161" s="21" t="n">
        <x:f>P161/L161</x:f>
        <x:v>0.596</x:v>
      </x:c>
      <x:c r="S161" s="18" t="str">
        <x:v>iteration_limit</x:v>
      </x:c>
      <x:c r="T161" s="22" t="b">
        <x:v>0</x:v>
      </x:c>
      <x:c r="U161" s="19" t="n">
        <x:v>0</x:v>
      </x:c>
      <x:c r="V161" s="19" t="n">
        <x:v>0</x:v>
      </x:c>
      <x:c r="W161" s="19" t="n">
        <x:v>0</x:v>
      </x:c>
      <x:c r="X161" s="22" t="b">
        <x:v>0</x:v>
      </x:c>
      <x:c r="Y161" s="20" t="n">
        <x:v>0</x:v>
      </x:c>
      <x:c r="Z161" s="20" t="n">
        <x:v>0</x:v>
      </x:c>
      <x:c r="AA161" s="20" t="n">
        <x:v>0</x:v>
      </x:c>
      <x:c r="AB161" s="20" t="n">
        <x:v>0.559507</x:v>
      </x:c>
      <x:c r="AC161" s="20" t="n">
        <x:v>6</x:v>
      </x:c>
      <x:c r="AD161" s="20" t="n">
        <x:v>134.684122</x:v>
      </x:c>
      <x:c r="AE161" s="20" t="n">
        <x:v>885.853621</x:v>
      </x:c>
      <x:c r="AF161" s="18" t="str">
        <x:v>{"random_removal": 1.0, "related_removal": 1.0, "worst_removal": 1.0}</x:v>
      </x:c>
      <x:c r="AG161" s="18" t="str">
        <x:v>{"greedy_insertion": 1.0, "regret_2_insertion": 1.0}</x:v>
      </x:c>
      <x:c r="AH161" s="18" t="str">
        <x:v>[["D0", "C43", "S3", "C37", "C72", "C1", "S7", "C47", "C11", "S13", "C95", "C64", "C18", "S16", "C50", "D0"], ["D0", "C90", "C57", "C52", "S13", "S7", "C45", "C46", "D0"]]</x:v>
      </x:c>
    </x:row>
    <x:row r="162">
      <x:c r="A162" s="18" t="str">
        <x:v>results/week6/ablation_no_adaptive/alns_evrptw_summary.csv</x:v>
      </x:c>
      <x:c r="B162" s="18" t="str">
        <x:v>No_Adaptive</x:v>
      </x:c>
      <x:c r="C162" s="18" t="str">
        <x:v>ALNS_EVRPTW_FULL_RECHARGE</x:v>
      </x:c>
      <x:c r="D162" s="18" t="str">
        <x:v>rc202C15</x:v>
      </x:c>
      <x:c r="E162" s="19" t="n">
        <x:v>65</x:v>
      </x:c>
      <x:c r="F162" s="18" t="str">
        <x:v>RC</x:v>
      </x:c>
      <x:c r="G162" s="19" t="n">
        <x:v>15</x:v>
      </x:c>
      <x:c r="H162" s="18" t="n">
        <x:v>1</x:v>
      </x:c>
      <x:c r="I162" s="19" t="n">
        <x:v>2</x:v>
      </x:c>
      <x:c r="J162" s="20" t="n">
        <x:v>458.254671</x:v>
      </x:c>
      <x:c r="K162" s="20" t="n">
        <x:v>134.522249</x:v>
      </x:c>
      <x:c r="L162" s="19" t="n">
        <x:v>1000</x:v>
      </x:c>
      <x:c r="M162" s="19" t="n">
        <x:v>50</x:v>
      </x:c>
      <x:c r="N162" s="19" t="n">
        <x:v>644</x:v>
      </x:c>
      <x:c r="O162" s="19" t="n">
        <x:v>17</x:v>
      </x:c>
      <x:c r="P162" s="19" t="n">
        <x:v>613</x:v>
      </x:c>
      <x:c r="Q162" s="19" t="n">
        <x:v>14</x:v>
      </x:c>
      <x:c r="R162" s="21" t="n">
        <x:f>P162/L162</x:f>
        <x:v>0.613</x:v>
      </x:c>
      <x:c r="S162" s="18" t="str">
        <x:v>iteration_limit</x:v>
      </x:c>
      <x:c r="T162" s="22" t="b">
        <x:v>0</x:v>
      </x:c>
      <x:c r="U162" s="19" t="n">
        <x:v>0</x:v>
      </x:c>
      <x:c r="V162" s="19" t="n">
        <x:v>0</x:v>
      </x:c>
      <x:c r="W162" s="19" t="n">
        <x:v>0</x:v>
      </x:c>
      <x:c r="X162" s="22" t="b">
        <x:v>0</x:v>
      </x:c>
      <x:c r="Y162" s="20" t="n">
        <x:v>0</x:v>
      </x:c>
      <x:c r="Z162" s="20" t="n">
        <x:v>0</x:v>
      </x:c>
      <x:c r="AA162" s="20" t="n">
        <x:v>0</x:v>
      </x:c>
      <x:c r="AB162" s="20" t="n">
        <x:v>0.559507</x:v>
      </x:c>
      <x:c r="AC162" s="20" t="n">
        <x:v>6</x:v>
      </x:c>
      <x:c r="AD162" s="20" t="n">
        <x:v>134.684122</x:v>
      </x:c>
      <x:c r="AE162" s="20" t="n">
        <x:v>885.853621</x:v>
      </x:c>
      <x:c r="AF162" s="18" t="str">
        <x:v>{"random_removal": 1.0, "related_removal": 1.0, "worst_removal": 1.0}</x:v>
      </x:c>
      <x:c r="AG162" s="18" t="str">
        <x:v>{"greedy_insertion": 1.0, "regret_2_insertion": 1.0}</x:v>
      </x:c>
      <x:c r="AH162" s="18" t="str">
        <x:v>[["D0", "C90", "C57", "C52", "S13", "S7", "C45", "C46", "D0"], ["D0", "C43", "S3", "C37", "C72", "C1", "S7", "C47", "C11", "S13", "C95", "C64", "C18", "S16", "C50", "D0"]]</x:v>
      </x:c>
    </x:row>
    <x:row r="163">
      <x:c r="A163" s="18" t="str">
        <x:v>results/week6/ablation_no_adaptive/alns_evrptw_summary.csv</x:v>
      </x:c>
      <x:c r="B163" s="18" t="str">
        <x:v>No_Adaptive</x:v>
      </x:c>
      <x:c r="C163" s="18" t="str">
        <x:v>ALNS_EVRPTW_FULL_RECHARGE</x:v>
      </x:c>
      <x:c r="D163" s="18" t="str">
        <x:v>rc202C15</x:v>
      </x:c>
      <x:c r="E163" s="19" t="n">
        <x:v>66</x:v>
      </x:c>
      <x:c r="F163" s="18" t="str">
        <x:v>RC</x:v>
      </x:c>
      <x:c r="G163" s="19" t="n">
        <x:v>15</x:v>
      </x:c>
      <x:c r="H163" s="18" t="n">
        <x:v>1</x:v>
      </x:c>
      <x:c r="I163" s="19" t="n">
        <x:v>2</x:v>
      </x:c>
      <x:c r="J163" s="20" t="n">
        <x:v>394.387139</x:v>
      </x:c>
      <x:c r="K163" s="20" t="n">
        <x:v>123.275915</x:v>
      </x:c>
      <x:c r="L163" s="19" t="n">
        <x:v>1000</x:v>
      </x:c>
      <x:c r="M163" s="19" t="n">
        <x:v>260</x:v>
      </x:c>
      <x:c r="N163" s="19" t="n">
        <x:v>859</x:v>
      </x:c>
      <x:c r="O163" s="19" t="n">
        <x:v>10</x:v>
      </x:c>
      <x:c r="P163" s="19" t="n">
        <x:v>842</x:v>
      </x:c>
      <x:c r="Q163" s="19" t="n">
        <x:v>7</x:v>
      </x:c>
      <x:c r="R163" s="21" t="n">
        <x:f>P163/L163</x:f>
        <x:v>0.842</x:v>
      </x:c>
      <x:c r="S163" s="18" t="str">
        <x:v>iteration_limit</x:v>
      </x:c>
      <x:c r="T163" s="22" t="b">
        <x:v>0</x:v>
      </x:c>
      <x:c r="U163" s="19" t="n">
        <x:v>0</x:v>
      </x:c>
      <x:c r="V163" s="19" t="n">
        <x:v>0</x:v>
      </x:c>
      <x:c r="W163" s="19" t="n">
        <x:v>0</x:v>
      </x:c>
      <x:c r="X163" s="22" t="b">
        <x:v>0</x:v>
      </x:c>
      <x:c r="Y163" s="20" t="n">
        <x:v>0</x:v>
      </x:c>
      <x:c r="Z163" s="20" t="n">
        <x:v>0</x:v>
      </x:c>
      <x:c r="AA163" s="20" t="n">
        <x:v>0</x:v>
      </x:c>
      <x:c r="AB163" s="20" t="n">
        <x:v>5.2188</x:v>
      </x:c>
      <x:c r="AC163" s="20" t="n">
        <x:v>6</x:v>
      </x:c>
      <x:c r="AD163" s="20" t="n">
        <x:v>109.775784</x:v>
      </x:c>
      <x:c r="AE163" s="20" t="n">
        <x:v>978.697585</x:v>
      </x:c>
      <x:c r="AF163" s="18" t="str">
        <x:v>{"random_removal": 1.0, "related_removal": 1.0, "worst_removal": 1.0}</x:v>
      </x:c>
      <x:c r="AG163" s="18" t="str">
        <x:v>{"greedy_insertion": 1.0, "regret_2_insertion": 1.0}</x:v>
      </x:c>
      <x:c r="AH163" s="18" t="str">
        <x:v>[["D0", "C90", "C57", "S13", "C47", "C11", "S13", "C52", "C95", "C64", "S16", "C18", "S16", "C50", "D0"], ["D0", "C43", "S3", "C37", "C72", "C1", "S7", "C45", "C46", "D0"]]</x:v>
      </x:c>
    </x:row>
    <x:row r="164">
      <x:c r="A164" s="18" t="str">
        <x:v>results/week6/ablation_no_sa/alns_evrptw_summary.csv</x:v>
      </x:c>
      <x:c r="B164" s="18" t="str">
        <x:v>No_SA</x:v>
      </x:c>
      <x:c r="C164" s="18" t="str">
        <x:v>ALNS_EVRPTW_FULL_RECHARGE</x:v>
      </x:c>
      <x:c r="D164" s="18" t="str">
        <x:v>c101C5</x:v>
      </x:c>
      <x:c r="E164" s="19" t="n">
        <x:v>64</x:v>
      </x:c>
      <x:c r="F164" s="18" t="str">
        <x:v>C</x:v>
      </x:c>
      <x:c r="G164" s="19" t="n">
        <x:v>5</x:v>
      </x:c>
      <x:c r="H164" s="18" t="n">
        <x:v>1</x:v>
      </x:c>
      <x:c r="I164" s="19" t="n">
        <x:v>3</x:v>
      </x:c>
      <x:c r="J164" s="20" t="n">
        <x:v>247.149706</x:v>
      </x:c>
      <x:c r="K164" s="20" t="n">
        <x:v>1.090537</x:v>
      </x:c>
      <x:c r="L164" s="19" t="n">
        <x:v>1000</x:v>
      </x:c>
      <x:c r="M164" s="19" t="n">
        <x:v>3</x:v>
      </x:c>
      <x:c r="N164" s="19" t="n">
        <x:v>1000</x:v>
      </x:c>
      <x:c r="O164" s="19" t="n">
        <x:v>1</x:v>
      </x:c>
      <x:c r="P164" s="19" t="n">
        <x:v>999</x:v>
      </x:c>
      <x:c r="Q164" s="19" t="n">
        <x:v>0</x:v>
      </x:c>
      <x:c r="R164" s="21" t="n">
        <x:f>P164/L164</x:f>
        <x:v>0.999</x:v>
      </x:c>
      <x:c r="S164" s="18" t="str">
        <x:v>iteration_limit</x:v>
      </x:c>
      <x:c r="T164" s="22" t="b">
        <x:v>0</x:v>
      </x:c>
      <x:c r="U164" s="19" t="n">
        <x:v>0</x:v>
      </x:c>
      <x:c r="V164" s="19" t="n">
        <x:v>0</x:v>
      </x:c>
      <x:c r="W164" s="19" t="n">
        <x:v>0</x:v>
      </x:c>
      <x:c r="X164" s="22" t="b">
        <x:v>0</x:v>
      </x:c>
      <x:c r="Y164" s="20" t="n">
        <x:v>0</x:v>
      </x:c>
      <x:c r="Z164" s="20" t="n">
        <x:v>0</x:v>
      </x:c>
      <x:c r="AA164" s="20" t="n">
        <x:v>0</x:v>
      </x:c>
      <x:c r="AB164" s="20" t="n">
        <x:v>2.113492</x:v>
      </x:c>
      <x:c r="AC164" s="20" t="n">
        <x:v>2</x:v>
      </x:c>
      <x:c r="AD164" s="20" t="n">
        <x:v>236.59311</x:v>
      </x:c>
      <x:c r="AE164" s="20" t="n">
        <x:v>1260.683715</x:v>
      </x:c>
      <x:c r="AF164" s="18" t="str">
        <x:v>{"random_removal": 0.01232985497982324, "related_removal": 0.011529215046068483, "worst_removal": 0.011529215046068483}</x:v>
      </x:c>
      <x:c r="AG164" s="18" t="str">
        <x:v>{"greedy_insertion": 0.012129694996384555, "regret_2_insertion": 0.011529215046068483}</x:v>
      </x:c>
      <x:c r="AH164" s="18" t="str">
        <x:v>[["D0", "C12", "S5", "C100", "D0"], ["D0", "S15", "C64", "C85", "D0"], ["D0", "C30", "D0"]]</x:v>
      </x:c>
    </x:row>
    <x:row r="165">
      <x:c r="A165" s="18" t="str">
        <x:v>results/week6/ablation_no_sa/alns_evrptw_summary.csv</x:v>
      </x:c>
      <x:c r="B165" s="18" t="str">
        <x:v>No_SA</x:v>
      </x:c>
      <x:c r="C165" s="18" t="str">
        <x:v>ALNS_EVRPTW_FULL_RECHARGE</x:v>
      </x:c>
      <x:c r="D165" s="18" t="str">
        <x:v>c101C5</x:v>
      </x:c>
      <x:c r="E165" s="19" t="n">
        <x:v>65</x:v>
      </x:c>
      <x:c r="F165" s="18" t="str">
        <x:v>C</x:v>
      </x:c>
      <x:c r="G165" s="19" t="n">
        <x:v>5</x:v>
      </x:c>
      <x:c r="H165" s="18" t="n">
        <x:v>1</x:v>
      </x:c>
      <x:c r="I165" s="19" t="n">
        <x:v>3</x:v>
      </x:c>
      <x:c r="J165" s="20" t="n">
        <x:v>247.149706</x:v>
      </x:c>
      <x:c r="K165" s="20" t="n">
        <x:v>1.067063</x:v>
      </x:c>
      <x:c r="L165" s="19" t="n">
        <x:v>1000</x:v>
      </x:c>
      <x:c r="M165" s="19" t="n">
        <x:v>12</x:v>
      </x:c>
      <x:c r="N165" s="19" t="n">
        <x:v>1000</x:v>
      </x:c>
      <x:c r="O165" s="19" t="n">
        <x:v>2</x:v>
      </x:c>
      <x:c r="P165" s="19" t="n">
        <x:v>998</x:v>
      </x:c>
      <x:c r="Q165" s="19" t="n">
        <x:v>0</x:v>
      </x:c>
      <x:c r="R165" s="21" t="n">
        <x:f>P165/L165</x:f>
        <x:v>0.998</x:v>
      </x:c>
      <x:c r="S165" s="18" t="str">
        <x:v>iteration_limit</x:v>
      </x:c>
      <x:c r="T165" s="22" t="b">
        <x:v>0</x:v>
      </x:c>
      <x:c r="U165" s="19" t="n">
        <x:v>0</x:v>
      </x:c>
      <x:c r="V165" s="19" t="n">
        <x:v>0</x:v>
      </x:c>
      <x:c r="W165" s="19" t="n">
        <x:v>0</x:v>
      </x:c>
      <x:c r="X165" s="22" t="b">
        <x:v>0</x:v>
      </x:c>
      <x:c r="Y165" s="20" t="n">
        <x:v>0</x:v>
      </x:c>
      <x:c r="Z165" s="20" t="n">
        <x:v>0</x:v>
      </x:c>
      <x:c r="AA165" s="20" t="n">
        <x:v>0</x:v>
      </x:c>
      <x:c r="AB165" s="20" t="n">
        <x:v>2.113492</x:v>
      </x:c>
      <x:c r="AC165" s="20" t="n">
        <x:v>2</x:v>
      </x:c>
      <x:c r="AD165" s="20" t="n">
        <x:v>236.59311</x:v>
      </x:c>
      <x:c r="AE165" s="20" t="n">
        <x:v>1260.683715</x:v>
      </x:c>
      <x:c r="AF165" s="18" t="str">
        <x:v>{"random_removal": 0.012489982966574187, "related_removal": 0.012429934971542581, "worst_removal": 0.011529215046068483}</x:v>
      </x:c>
      <x:c r="AG165" s="18" t="str">
        <x:v>{"greedy_insertion": 0.011529215046068483, "regret_2_insertion": 0.012558609246610312}</x:v>
      </x:c>
      <x:c r="AH165" s="18" t="str">
        <x:v>[["D0", "C30", "D0"], ["D0", "S15", "C64", "C85", "D0"], ["D0", "C12", "S5", "C100", "D0"]]</x:v>
      </x:c>
    </x:row>
    <x:row r="166">
      <x:c r="A166" s="18" t="str">
        <x:v>results/week6/ablation_no_sa/alns_evrptw_summary.csv</x:v>
      </x:c>
      <x:c r="B166" s="18" t="str">
        <x:v>No_SA</x:v>
      </x:c>
      <x:c r="C166" s="18" t="str">
        <x:v>ALNS_EVRPTW_FULL_RECHARGE</x:v>
      </x:c>
      <x:c r="D166" s="18" t="str">
        <x:v>c101C5</x:v>
      </x:c>
      <x:c r="E166" s="19" t="n">
        <x:v>66</x:v>
      </x:c>
      <x:c r="F166" s="18" t="str">
        <x:v>C</x:v>
      </x:c>
      <x:c r="G166" s="19" t="n">
        <x:v>5</x:v>
      </x:c>
      <x:c r="H166" s="18" t="n">
        <x:v>1</x:v>
      </x:c>
      <x:c r="I166" s="19" t="n">
        <x:v>3</x:v>
      </x:c>
      <x:c r="J166" s="20" t="n">
        <x:v>247.149706</x:v>
      </x:c>
      <x:c r="K166" s="20" t="n">
        <x:v>1.137355</x:v>
      </x:c>
      <x:c r="L166" s="19" t="n">
        <x:v>1000</x:v>
      </x:c>
      <x:c r="M166" s="19" t="n">
        <x:v>6</x:v>
      </x:c>
      <x:c r="N166" s="19" t="n">
        <x:v>1000</x:v>
      </x:c>
      <x:c r="O166" s="19" t="n">
        <x:v>1</x:v>
      </x:c>
      <x:c r="P166" s="19" t="n">
        <x:v>999</x:v>
      </x:c>
      <x:c r="Q166" s="19" t="n">
        <x:v>0</x:v>
      </x:c>
      <x:c r="R166" s="21" t="n">
        <x:f>P166/L166</x:f>
        <x:v>0.999</x:v>
      </x:c>
      <x:c r="S166" s="18" t="str">
        <x:v>iteration_limit</x:v>
      </x:c>
      <x:c r="T166" s="22" t="b">
        <x:v>0</x:v>
      </x:c>
      <x:c r="U166" s="19" t="n">
        <x:v>0</x:v>
      </x:c>
      <x:c r="V166" s="19" t="n">
        <x:v>0</x:v>
      </x:c>
      <x:c r="W166" s="19" t="n">
        <x:v>0</x:v>
      </x:c>
      <x:c r="X166" s="22" t="b">
        <x:v>0</x:v>
      </x:c>
      <x:c r="Y166" s="20" t="n">
        <x:v>0</x:v>
      </x:c>
      <x:c r="Z166" s="20" t="n">
        <x:v>0</x:v>
      </x:c>
      <x:c r="AA166" s="20" t="n">
        <x:v>0</x:v>
      </x:c>
      <x:c r="AB166" s="20" t="n">
        <x:v>2.113492</x:v>
      </x:c>
      <x:c r="AC166" s="20" t="n">
        <x:v>2</x:v>
      </x:c>
      <x:c r="AD166" s="20" t="n">
        <x:v>236.59311</x:v>
      </x:c>
      <x:c r="AE166" s="20" t="n">
        <x:v>1260.683715</x:v>
      </x:c>
      <x:c r="AF166" s="18" t="str">
        <x:v>{"random_removal": 0.011529215046068483, "related_removal": 0.011529215046068483, "worst_removal": 0.012558609246610312}</x:v>
      </x:c>
      <x:c r="AG166" s="18" t="str">
        <x:v>{"greedy_insertion": 0.011529215046068483, "regret_2_insertion": 0.012009599006321335}</x:v>
      </x:c>
      <x:c r="AH166" s="18" t="str">
        <x:v>[["D0", "C12", "S5", "C100", "D0"], ["D0", "S15", "C64", "C85", "D0"], ["D0", "C30", "D0"]]</x:v>
      </x:c>
    </x:row>
    <x:row r="167">
      <x:c r="A167" s="18" t="str">
        <x:v>results/week6/ablation_no_sa/alns_evrptw_summary.csv</x:v>
      </x:c>
      <x:c r="B167" s="18" t="str">
        <x:v>No_SA</x:v>
      </x:c>
      <x:c r="C167" s="18" t="str">
        <x:v>ALNS_EVRPTW_FULL_RECHARGE</x:v>
      </x:c>
      <x:c r="D167" s="18" t="str">
        <x:v>c101C10</x:v>
      </x:c>
      <x:c r="E167" s="19" t="n">
        <x:v>64</x:v>
      </x:c>
      <x:c r="F167" s="18" t="str">
        <x:v>C</x:v>
      </x:c>
      <x:c r="G167" s="19" t="n">
        <x:v>10</x:v>
      </x:c>
      <x:c r="H167" s="18" t="n">
        <x:v>1</x:v>
      </x:c>
      <x:c r="I167" s="19" t="n">
        <x:v>3</x:v>
      </x:c>
      <x:c r="J167" s="20" t="n">
        <x:v>408.477828</x:v>
      </x:c>
      <x:c r="K167" s="20" t="n">
        <x:v>19.674301</x:v>
      </x:c>
      <x:c r="L167" s="19" t="n">
        <x:v>1000</x:v>
      </x:c>
      <x:c r="M167" s="19" t="n">
        <x:v>68</x:v>
      </x:c>
      <x:c r="N167" s="19" t="n">
        <x:v>909</x:v>
      </x:c>
      <x:c r="O167" s="19" t="n">
        <x:v>1</x:v>
      </x:c>
      <x:c r="P167" s="19" t="n">
        <x:v>908</x:v>
      </x:c>
      <x:c r="Q167" s="19" t="n">
        <x:v>0</x:v>
      </x:c>
      <x:c r="R167" s="21" t="n">
        <x:f>P167/L167</x:f>
        <x:v>0.908</x:v>
      </x:c>
      <x:c r="S167" s="18" t="str">
        <x:v>iteration_limit</x:v>
      </x:c>
      <x:c r="T167" s="22" t="b">
        <x:v>0</x:v>
      </x:c>
      <x:c r="U167" s="19" t="n">
        <x:v>0</x:v>
      </x:c>
      <x:c r="V167" s="19" t="n">
        <x:v>0</x:v>
      </x:c>
      <x:c r="W167" s="19" t="n">
        <x:v>0</x:v>
      </x:c>
      <x:c r="X167" s="22" t="b">
        <x:v>0</x:v>
      </x:c>
      <x:c r="Y167" s="20" t="n">
        <x:v>0</x:v>
      </x:c>
      <x:c r="Z167" s="20" t="n">
        <x:v>0</x:v>
      </x:c>
      <x:c r="AA167" s="20" t="n">
        <x:v>0</x:v>
      </x:c>
      <x:c r="AB167" s="20" t="n">
        <x:v>8.21048</x:v>
      </x:c>
      <x:c r="AC167" s="20" t="n">
        <x:v>5</x:v>
      </x:c>
      <x:c r="AD167" s="20" t="n">
        <x:v>900.952858</x:v>
      </x:c>
      <x:c r="AE167" s="20" t="n">
        <x:v>1191.11285</x:v>
      </x:c>
      <x:c r="AF167" s="18" t="str">
        <x:v>{"random_removal": 0.012730174946700618, "related_removal": 0.011529215046068483, "worst_removal": 0.011529215046068483}</x:v>
      </x:c>
      <x:c r="AG167" s="18" t="str">
        <x:v>{"greedy_insertion": 0.012477341283409639, "regret_2_insertion": 0.011529215046068483}</x:v>
      </x:c>
      <x:c r="AH167" s="18" t="str">
        <x:v>[["D0", "C98", "S1", "C78", "S1", "C89", "D0"], ["D0", "C96", "C95", "S3", "C4", "C100", "S3", "C13", "D0"], ["D0", "C27", "C54", "S16", "D0"]]</x:v>
      </x:c>
    </x:row>
    <x:row r="168">
      <x:c r="A168" s="18" t="str">
        <x:v>results/week6/ablation_no_sa/alns_evrptw_summary.csv</x:v>
      </x:c>
      <x:c r="B168" s="18" t="str">
        <x:v>No_SA</x:v>
      </x:c>
      <x:c r="C168" s="18" t="str">
        <x:v>ALNS_EVRPTW_FULL_RECHARGE</x:v>
      </x:c>
      <x:c r="D168" s="18" t="str">
        <x:v>c101C10</x:v>
      </x:c>
      <x:c r="E168" s="19" t="n">
        <x:v>65</x:v>
      </x:c>
      <x:c r="F168" s="18" t="str">
        <x:v>C</x:v>
      </x:c>
      <x:c r="G168" s="19" t="n">
        <x:v>10</x:v>
      </x:c>
      <x:c r="H168" s="18" t="n">
        <x:v>1</x:v>
      </x:c>
      <x:c r="I168" s="19" t="n">
        <x:v>3</x:v>
      </x:c>
      <x:c r="J168" s="20" t="n">
        <x:v>408.477828</x:v>
      </x:c>
      <x:c r="K168" s="20" t="n">
        <x:v>20.667723</x:v>
      </x:c>
      <x:c r="L168" s="19" t="n">
        <x:v>1000</x:v>
      </x:c>
      <x:c r="M168" s="19" t="n">
        <x:v>75</x:v>
      </x:c>
      <x:c r="N168" s="19" t="n">
        <x:v>901</x:v>
      </x:c>
      <x:c r="O168" s="19" t="n">
        <x:v>1</x:v>
      </x:c>
      <x:c r="P168" s="19" t="n">
        <x:v>900</x:v>
      </x:c>
      <x:c r="Q168" s="19" t="n">
        <x:v>0</x:v>
      </x:c>
      <x:c r="R168" s="21" t="n">
        <x:f>P168/L168</x:f>
        <x:v>0.9</x:v>
      </x:c>
      <x:c r="S168" s="18" t="str">
        <x:v>iteration_limit</x:v>
      </x:c>
      <x:c r="T168" s="22" t="b">
        <x:v>0</x:v>
      </x:c>
      <x:c r="U168" s="19" t="n">
        <x:v>0</x:v>
      </x:c>
      <x:c r="V168" s="19" t="n">
        <x:v>0</x:v>
      </x:c>
      <x:c r="W168" s="19" t="n">
        <x:v>0</x:v>
      </x:c>
      <x:c r="X168" s="22" t="b">
        <x:v>0</x:v>
      </x:c>
      <x:c r="Y168" s="20" t="n">
        <x:v>0</x:v>
      </x:c>
      <x:c r="Z168" s="20" t="n">
        <x:v>0</x:v>
      </x:c>
      <x:c r="AA168" s="20" t="n">
        <x:v>0</x:v>
      </x:c>
      <x:c r="AB168" s="20" t="n">
        <x:v>8.21048</x:v>
      </x:c>
      <x:c r="AC168" s="20" t="n">
        <x:v>5</x:v>
      </x:c>
      <x:c r="AD168" s="20" t="n">
        <x:v>900.952858</x:v>
      </x:c>
      <x:c r="AE168" s="20" t="n">
        <x:v>1191.11285</x:v>
      </x:c>
      <x:c r="AF168" s="18" t="str">
        <x:v>{"random_removal": 0.011529215046068483, "related_removal": 0.012429934971542586, "worst_removal": 0.011529215046068483}</x:v>
      </x:c>
      <x:c r="AG168" s="18" t="str">
        <x:v>{"greedy_insertion": 0.012279814983963567, "regret_2_insertion": 0.011529215046068483}</x:v>
      </x:c>
      <x:c r="AH168" s="18" t="str">
        <x:v>[["D0", "C98", "S1", "C78", "S1", "C89", "D0"], ["D0", "C96", "C95", "S3", "C4", "C100", "S3", "C13", "D0"], ["D0", "C27", "C54", "S16", "D0"]]</x:v>
      </x:c>
    </x:row>
    <x:row r="169">
      <x:c r="A169" s="18" t="str">
        <x:v>results/week6/ablation_no_sa/alns_evrptw_summary.csv</x:v>
      </x:c>
      <x:c r="B169" s="18" t="str">
        <x:v>No_SA</x:v>
      </x:c>
      <x:c r="C169" s="18" t="str">
        <x:v>ALNS_EVRPTW_FULL_RECHARGE</x:v>
      </x:c>
      <x:c r="D169" s="18" t="str">
        <x:v>c101C10</x:v>
      </x:c>
      <x:c r="E169" s="19" t="n">
        <x:v>66</x:v>
      </x:c>
      <x:c r="F169" s="18" t="str">
        <x:v>C</x:v>
      </x:c>
      <x:c r="G169" s="19" t="n">
        <x:v>10</x:v>
      </x:c>
      <x:c r="H169" s="18" t="n">
        <x:v>1</x:v>
      </x:c>
      <x:c r="I169" s="19" t="n">
        <x:v>3</x:v>
      </x:c>
      <x:c r="J169" s="20" t="n">
        <x:v>408.477828</x:v>
      </x:c>
      <x:c r="K169" s="20" t="n">
        <x:v>21.22865</x:v>
      </x:c>
      <x:c r="L169" s="19" t="n">
        <x:v>1000</x:v>
      </x:c>
      <x:c r="M169" s="19" t="n">
        <x:v>29</x:v>
      </x:c>
      <x:c r="N169" s="19" t="n">
        <x:v>903</x:v>
      </x:c>
      <x:c r="O169" s="19" t="n">
        <x:v>1</x:v>
      </x:c>
      <x:c r="P169" s="19" t="n">
        <x:v>902</x:v>
      </x:c>
      <x:c r="Q169" s="19" t="n">
        <x:v>0</x:v>
      </x:c>
      <x:c r="R169" s="21" t="n">
        <x:f>P169/L169</x:f>
        <x:v>0.902</x:v>
      </x:c>
      <x:c r="S169" s="18" t="str">
        <x:v>iteration_limit</x:v>
      </x:c>
      <x:c r="T169" s="22" t="b">
        <x:v>0</x:v>
      </x:c>
      <x:c r="U169" s="19" t="n">
        <x:v>0</x:v>
      </x:c>
      <x:c r="V169" s="19" t="n">
        <x:v>0</x:v>
      </x:c>
      <x:c r="W169" s="19" t="n">
        <x:v>0</x:v>
      </x:c>
      <x:c r="X169" s="22" t="b">
        <x:v>0</x:v>
      </x:c>
      <x:c r="Y169" s="20" t="n">
        <x:v>0</x:v>
      </x:c>
      <x:c r="Z169" s="20" t="n">
        <x:v>0</x:v>
      </x:c>
      <x:c r="AA169" s="20" t="n">
        <x:v>0</x:v>
      </x:c>
      <x:c r="AB169" s="20" t="n">
        <x:v>8.21048</x:v>
      </x:c>
      <x:c r="AC169" s="20" t="n">
        <x:v>5</x:v>
      </x:c>
      <x:c r="AD169" s="20" t="n">
        <x:v>900.952858</x:v>
      </x:c>
      <x:c r="AE169" s="20" t="n">
        <x:v>1191.11285</x:v>
      </x:c>
      <x:c r="AF169" s="18" t="str">
        <x:v>{"random_removal": 0.011529215046068483, "related_removal": 0.01263779341588276, "worst_removal": 0.011529215046068483}</x:v>
      </x:c>
      <x:c r="AG169" s="18" t="str">
        <x:v>{"greedy_insertion": 0.012129694996384555, "regret_2_insertion": 0.011529215046068483}</x:v>
      </x:c>
      <x:c r="AH169" s="18" t="str">
        <x:v>[["D0", "C98", "S1", "C78", "S1", "C89", "D0"], ["D0", "C96", "C95", "S3", "C4", "C100", "S3", "C13", "D0"], ["D0", "C27", "C54", "S16", "D0"]]</x:v>
      </x:c>
    </x:row>
    <x:row r="170">
      <x:c r="A170" s="18" t="str">
        <x:v>results/week6/ablation_no_sa/alns_evrptw_summary.csv</x:v>
      </x:c>
      <x:c r="B170" s="18" t="str">
        <x:v>No_SA</x:v>
      </x:c>
      <x:c r="C170" s="18" t="str">
        <x:v>ALNS_EVRPTW_FULL_RECHARGE</x:v>
      </x:c>
      <x:c r="D170" s="18" t="str">
        <x:v>c103C15</x:v>
      </x:c>
      <x:c r="E170" s="19" t="n">
        <x:v>64</x:v>
      </x:c>
      <x:c r="F170" s="18" t="str">
        <x:v>C</x:v>
      </x:c>
      <x:c r="G170" s="19" t="n">
        <x:v>15</x:v>
      </x:c>
      <x:c r="H170" s="18" t="n">
        <x:v>1</x:v>
      </x:c>
      <x:c r="I170" s="19" t="n">
        <x:v>3</x:v>
      </x:c>
      <x:c r="J170" s="20" t="n">
        <x:v>392.977769</x:v>
      </x:c>
      <x:c r="K170" s="20" t="n">
        <x:v>66.247607</x:v>
      </x:c>
      <x:c r="L170" s="19" t="n">
        <x:v>1000</x:v>
      </x:c>
      <x:c r="M170" s="19" t="n">
        <x:v>0</x:v>
      </x:c>
      <x:c r="N170" s="19" t="n">
        <x:v>926</x:v>
      </x:c>
      <x:c r="O170" s="19" t="n">
        <x:v>0</x:v>
      </x:c>
      <x:c r="P170" s="19" t="n">
        <x:v>926</x:v>
      </x:c>
      <x:c r="Q170" s="19" t="n">
        <x:v>0</x:v>
      </x:c>
      <x:c r="R170" s="21" t="n">
        <x:f>P170/L170</x:f>
        <x:v>0.926</x:v>
      </x:c>
      <x:c r="S170" s="18" t="str">
        <x:v>iteration_limit</x:v>
      </x:c>
      <x:c r="T170" s="22" t="b">
        <x:v>0</x:v>
      </x:c>
      <x:c r="U170" s="19" t="n">
        <x:v>0</x:v>
      </x:c>
      <x:c r="V170" s="19" t="n">
        <x:v>0</x:v>
      </x:c>
      <x:c r="W170" s="19" t="n">
        <x:v>0</x:v>
      </x:c>
      <x:c r="X170" s="22" t="b">
        <x:v>0</x:v>
      </x:c>
      <x:c r="Y170" s="20" t="n">
        <x:v>0</x:v>
      </x:c>
      <x:c r="Z170" s="20" t="n">
        <x:v>0</x:v>
      </x:c>
      <x:c r="AA170" s="20" t="n">
        <x:v>0</x:v>
      </x:c>
      <x:c r="AB170" s="20" t="n">
        <x:v>1.327451</x:v>
      </x:c>
      <x:c r="AC170" s="20" t="n">
        <x:v>4</x:v>
      </x:c>
      <x:c r="AD170" s="20" t="n">
        <x:v>748.055391</x:v>
      </x:c>
      <x:c r="AE170" s="20" t="n">
        <x:v>1088.375049</x:v>
      </x:c>
      <x:c r="AF170" s="18" t="str">
        <x:v>{"random_removal": 0.011529215046068483, "related_removal": 0.011529215046068483, "worst_removal": 0.011529215046068483}</x:v>
      </x:c>
      <x:c r="AG170" s="18" t="str">
        <x:v>{"greedy_insertion": 0.011529215046068483, "regret_2_insertion": 0.011529215046068483}</x:v>
      </x:c>
      <x:c r="AH170" s="18" t="str">
        <x:v>[["D0", "C59", "C40", "S15", "C61", "C85", "D0"], ["D0", "C30", "C33", "C35", "S13", "C50", "C44", "D0"], ["D0", "C98", "C95", "S3", "C18", "C19", "S7", "C10", "C13", "D0"]]</x:v>
      </x:c>
    </x:row>
    <x:row r="171">
      <x:c r="A171" s="18" t="str">
        <x:v>results/week6/ablation_no_sa/alns_evrptw_summary.csv</x:v>
      </x:c>
      <x:c r="B171" s="18" t="str">
        <x:v>No_SA</x:v>
      </x:c>
      <x:c r="C171" s="18" t="str">
        <x:v>ALNS_EVRPTW_FULL_RECHARGE</x:v>
      </x:c>
      <x:c r="D171" s="18" t="str">
        <x:v>c103C15</x:v>
      </x:c>
      <x:c r="E171" s="19" t="n">
        <x:v>65</x:v>
      </x:c>
      <x:c r="F171" s="18" t="str">
        <x:v>C</x:v>
      </x:c>
      <x:c r="G171" s="19" t="n">
        <x:v>15</x:v>
      </x:c>
      <x:c r="H171" s="18" t="n">
        <x:v>1</x:v>
      </x:c>
      <x:c r="I171" s="19" t="n">
        <x:v>3</x:v>
      </x:c>
      <x:c r="J171" s="20" t="n">
        <x:v>392.977769</x:v>
      </x:c>
      <x:c r="K171" s="20" t="n">
        <x:v>66.448794</x:v>
      </x:c>
      <x:c r="L171" s="19" t="n">
        <x:v>1000</x:v>
      </x:c>
      <x:c r="M171" s="19" t="n">
        <x:v>0</x:v>
      </x:c>
      <x:c r="N171" s="19" t="n">
        <x:v>917</x:v>
      </x:c>
      <x:c r="O171" s="19" t="n">
        <x:v>0</x:v>
      </x:c>
      <x:c r="P171" s="19" t="n">
        <x:v>917</x:v>
      </x:c>
      <x:c r="Q171" s="19" t="n">
        <x:v>0</x:v>
      </x:c>
      <x:c r="R171" s="21" t="n">
        <x:f>P171/L171</x:f>
        <x:v>0.917</x:v>
      </x:c>
      <x:c r="S171" s="18" t="str">
        <x:v>iteration_limit</x:v>
      </x:c>
      <x:c r="T171" s="22" t="b">
        <x:v>0</x:v>
      </x:c>
      <x:c r="U171" s="19" t="n">
        <x:v>0</x:v>
      </x:c>
      <x:c r="V171" s="19" t="n">
        <x:v>0</x:v>
      </x:c>
      <x:c r="W171" s="19" t="n">
        <x:v>0</x:v>
      </x:c>
      <x:c r="X171" s="22" t="b">
        <x:v>0</x:v>
      </x:c>
      <x:c r="Y171" s="20" t="n">
        <x:v>0</x:v>
      </x:c>
      <x:c r="Z171" s="20" t="n">
        <x:v>0</x:v>
      </x:c>
      <x:c r="AA171" s="20" t="n">
        <x:v>0</x:v>
      </x:c>
      <x:c r="AB171" s="20" t="n">
        <x:v>1.327451</x:v>
      </x:c>
      <x:c r="AC171" s="20" t="n">
        <x:v>4</x:v>
      </x:c>
      <x:c r="AD171" s="20" t="n">
        <x:v>748.055391</x:v>
      </x:c>
      <x:c r="AE171" s="20" t="n">
        <x:v>1088.375049</x:v>
      </x:c>
      <x:c r="AF171" s="18" t="str">
        <x:v>{"random_removal": 0.011529215046068483, "related_removal": 0.011529215046068483, "worst_removal": 0.011529215046068483}</x:v>
      </x:c>
      <x:c r="AG171" s="18" t="str">
        <x:v>{"greedy_insertion": 0.011529215046068483, "regret_2_insertion": 0.011529215046068483}</x:v>
      </x:c>
      <x:c r="AH171" s="18" t="str">
        <x:v>[["D0", "C59", "C40", "S15", "C61", "C85", "D0"], ["D0", "C30", "C33", "C35", "S13", "C50", "C44", "D0"], ["D0", "C98", "C95", "S3", "C18", "C19", "S7", "C10", "C13", "D0"]]</x:v>
      </x:c>
    </x:row>
    <x:row r="172">
      <x:c r="A172" s="18" t="str">
        <x:v>results/week6/ablation_no_sa/alns_evrptw_summary.csv</x:v>
      </x:c>
      <x:c r="B172" s="18" t="str">
        <x:v>No_SA</x:v>
      </x:c>
      <x:c r="C172" s="18" t="str">
        <x:v>ALNS_EVRPTW_FULL_RECHARGE</x:v>
      </x:c>
      <x:c r="D172" s="18" t="str">
        <x:v>c103C15</x:v>
      </x:c>
      <x:c r="E172" s="19" t="n">
        <x:v>66</x:v>
      </x:c>
      <x:c r="F172" s="18" t="str">
        <x:v>C</x:v>
      </x:c>
      <x:c r="G172" s="19" t="n">
        <x:v>15</x:v>
      </x:c>
      <x:c r="H172" s="18" t="n">
        <x:v>1</x:v>
      </x:c>
      <x:c r="I172" s="19" t="n">
        <x:v>3</x:v>
      </x:c>
      <x:c r="J172" s="20" t="n">
        <x:v>392.977769</x:v>
      </x:c>
      <x:c r="K172" s="20" t="n">
        <x:v>73.476163</x:v>
      </x:c>
      <x:c r="L172" s="19" t="n">
        <x:v>1000</x:v>
      </x:c>
      <x:c r="M172" s="19" t="n">
        <x:v>0</x:v>
      </x:c>
      <x:c r="N172" s="19" t="n">
        <x:v>924</x:v>
      </x:c>
      <x:c r="O172" s="19" t="n">
        <x:v>0</x:v>
      </x:c>
      <x:c r="P172" s="19" t="n">
        <x:v>924</x:v>
      </x:c>
      <x:c r="Q172" s="19" t="n">
        <x:v>0</x:v>
      </x:c>
      <x:c r="R172" s="21" t="n">
        <x:f>P172/L172</x:f>
        <x:v>0.924</x:v>
      </x:c>
      <x:c r="S172" s="18" t="str">
        <x:v>iteration_limit</x:v>
      </x:c>
      <x:c r="T172" s="22" t="b">
        <x:v>0</x:v>
      </x:c>
      <x:c r="U172" s="19" t="n">
        <x:v>0</x:v>
      </x:c>
      <x:c r="V172" s="19" t="n">
        <x:v>0</x:v>
      </x:c>
      <x:c r="W172" s="19" t="n">
        <x:v>0</x:v>
      </x:c>
      <x:c r="X172" s="22" t="b">
        <x:v>0</x:v>
      </x:c>
      <x:c r="Y172" s="20" t="n">
        <x:v>0</x:v>
      </x:c>
      <x:c r="Z172" s="20" t="n">
        <x:v>0</x:v>
      </x:c>
      <x:c r="AA172" s="20" t="n">
        <x:v>0</x:v>
      </x:c>
      <x:c r="AB172" s="20" t="n">
        <x:v>1.327451</x:v>
      </x:c>
      <x:c r="AC172" s="20" t="n">
        <x:v>4</x:v>
      </x:c>
      <x:c r="AD172" s="20" t="n">
        <x:v>748.055391</x:v>
      </x:c>
      <x:c r="AE172" s="20" t="n">
        <x:v>1088.375049</x:v>
      </x:c>
      <x:c r="AF172" s="18" t="str">
        <x:v>{"random_removal": 0.011529215046068483, "related_removal": 0.011529215046068483, "worst_removal": 0.011529215046068483}</x:v>
      </x:c>
      <x:c r="AG172" s="18" t="str">
        <x:v>{"greedy_insertion": 0.011529215046068483, "regret_2_insertion": 0.011529215046068483}</x:v>
      </x:c>
      <x:c r="AH172" s="18" t="str">
        <x:v>[["D0", "C59", "C40", "S15", "C61", "C85", "D0"], ["D0", "C30", "C33", "C35", "S13", "C50", "C44", "D0"], ["D0", "C98", "C95", "S3", "C18", "C19", "S7", "C10", "C13", "D0"]]</x:v>
      </x:c>
    </x:row>
    <x:row r="173">
      <x:c r="A173" s="18" t="str">
        <x:v>results/week6/ablation_no_sa/alns_evrptw_summary.csv</x:v>
      </x:c>
      <x:c r="B173" s="18" t="str">
        <x:v>No_SA</x:v>
      </x:c>
      <x:c r="C173" s="18" t="str">
        <x:v>ALNS_EVRPTW_FULL_RECHARGE</x:v>
      </x:c>
      <x:c r="D173" s="18" t="str">
        <x:v>c206C5</x:v>
      </x:c>
      <x:c r="E173" s="19" t="n">
        <x:v>64</x:v>
      </x:c>
      <x:c r="F173" s="18" t="str">
        <x:v>C</x:v>
      </x:c>
      <x:c r="G173" s="19" t="n">
        <x:v>5</x:v>
      </x:c>
      <x:c r="H173" s="18" t="n">
        <x:v>1</x:v>
      </x:c>
      <x:c r="I173" s="19" t="n">
        <x:v>1</x:v>
      </x:c>
      <x:c r="J173" s="20" t="n">
        <x:v>242.555652</x:v>
      </x:c>
      <x:c r="K173" s="20" t="n">
        <x:v>2.086423</x:v>
      </x:c>
      <x:c r="L173" s="19" t="n">
        <x:v>1000</x:v>
      </x:c>
      <x:c r="M173" s="19" t="n">
        <x:v>0</x:v>
      </x:c>
      <x:c r="N173" s="19" t="n">
        <x:v>1000</x:v>
      </x:c>
      <x:c r="O173" s="19" t="n">
        <x:v>0</x:v>
      </x:c>
      <x:c r="P173" s="19" t="n">
        <x:v>1000</x:v>
      </x:c>
      <x:c r="Q173" s="19" t="n">
        <x:v>0</x:v>
      </x:c>
      <x:c r="R173" s="21" t="n">
        <x:f>P173/L173</x:f>
        <x:v>1</x:v>
      </x:c>
      <x:c r="S173" s="18" t="str">
        <x:v>iteration_limit</x:v>
      </x:c>
      <x:c r="T173" s="22" t="b">
        <x:v>0</x:v>
      </x:c>
      <x:c r="U173" s="19" t="n">
        <x:v>0</x:v>
      </x:c>
      <x:c r="V173" s="19" t="n">
        <x:v>0</x:v>
      </x:c>
      <x:c r="W173" s="19" t="n">
        <x:v>0</x:v>
      </x:c>
      <x:c r="X173" s="22" t="b">
        <x:v>0</x:v>
      </x:c>
      <x:c r="Y173" s="20" t="n">
        <x:v>0</x:v>
      </x:c>
      <x:c r="Z173" s="20" t="n">
        <x:v>0</x:v>
      </x:c>
      <x:c r="AA173" s="20" t="n">
        <x:v>0</x:v>
      </x:c>
      <x:c r="AB173" s="20" t="n">
        <x:v>1.592269</x:v>
      </x:c>
      <x:c r="AC173" s="20" t="n">
        <x:v>3</x:v>
      </x:c>
      <x:c r="AD173" s="20" t="n">
        <x:v>577.400785</x:v>
      </x:c>
      <x:c r="AE173" s="20" t="n">
        <x:v>1070.388466</x:v>
      </x:c>
      <x:c r="AF173" s="18" t="str">
        <x:v>{"random_removal": 0.011529215046068483, "related_removal": 0.011529215046068483, "worst_removal": 0.011529215046068483}</x:v>
      </x:c>
      <x:c r="AG173" s="18" t="str">
        <x:v>{"greedy_insertion": 0.011529215046068483, "regret_2_insertion": 0.011529215046068483}</x:v>
      </x:c>
      <x:c r="AH173" s="18" t="str">
        <x:v>[["D0", "C75", "S0", "C44", "C53", "S17", "C77", "S0", "C35", "D0"]]</x:v>
      </x:c>
    </x:row>
    <x:row r="174">
      <x:c r="A174" s="18" t="str">
        <x:v>results/week6/ablation_no_sa/alns_evrptw_summary.csv</x:v>
      </x:c>
      <x:c r="B174" s="18" t="str">
        <x:v>No_SA</x:v>
      </x:c>
      <x:c r="C174" s="18" t="str">
        <x:v>ALNS_EVRPTW_FULL_RECHARGE</x:v>
      </x:c>
      <x:c r="D174" s="18" t="str">
        <x:v>c206C5</x:v>
      </x:c>
      <x:c r="E174" s="19" t="n">
        <x:v>65</x:v>
      </x:c>
      <x:c r="F174" s="18" t="str">
        <x:v>C</x:v>
      </x:c>
      <x:c r="G174" s="19" t="n">
        <x:v>5</x:v>
      </x:c>
      <x:c r="H174" s="18" t="n">
        <x:v>1</x:v>
      </x:c>
      <x:c r="I174" s="19" t="n">
        <x:v>1</x:v>
      </x:c>
      <x:c r="J174" s="20" t="n">
        <x:v>242.555652</x:v>
      </x:c>
      <x:c r="K174" s="20" t="n">
        <x:v>2.08294</x:v>
      </x:c>
      <x:c r="L174" s="19" t="n">
        <x:v>1000</x:v>
      </x:c>
      <x:c r="M174" s="19" t="n">
        <x:v>0</x:v>
      </x:c>
      <x:c r="N174" s="19" t="n">
        <x:v>1000</x:v>
      </x:c>
      <x:c r="O174" s="19" t="n">
        <x:v>0</x:v>
      </x:c>
      <x:c r="P174" s="19" t="n">
        <x:v>1000</x:v>
      </x:c>
      <x:c r="Q174" s="19" t="n">
        <x:v>0</x:v>
      </x:c>
      <x:c r="R174" s="21" t="n">
        <x:f>P174/L174</x:f>
        <x:v>1</x:v>
      </x:c>
      <x:c r="S174" s="18" t="str">
        <x:v>iteration_limit</x:v>
      </x:c>
      <x:c r="T174" s="22" t="b">
        <x:v>0</x:v>
      </x:c>
      <x:c r="U174" s="19" t="n">
        <x:v>0</x:v>
      </x:c>
      <x:c r="V174" s="19" t="n">
        <x:v>0</x:v>
      </x:c>
      <x:c r="W174" s="19" t="n">
        <x:v>0</x:v>
      </x:c>
      <x:c r="X174" s="22" t="b">
        <x:v>0</x:v>
      </x:c>
      <x:c r="Y174" s="20" t="n">
        <x:v>0</x:v>
      </x:c>
      <x:c r="Z174" s="20" t="n">
        <x:v>0</x:v>
      </x:c>
      <x:c r="AA174" s="20" t="n">
        <x:v>0</x:v>
      </x:c>
      <x:c r="AB174" s="20" t="n">
        <x:v>1.592269</x:v>
      </x:c>
      <x:c r="AC174" s="20" t="n">
        <x:v>3</x:v>
      </x:c>
      <x:c r="AD174" s="20" t="n">
        <x:v>577.400785</x:v>
      </x:c>
      <x:c r="AE174" s="20" t="n">
        <x:v>1070.388466</x:v>
      </x:c>
      <x:c r="AF174" s="18" t="str">
        <x:v>{"random_removal": 0.011529215046068483, "related_removal": 0.011529215046068483, "worst_removal": 0.011529215046068483}</x:v>
      </x:c>
      <x:c r="AG174" s="18" t="str">
        <x:v>{"greedy_insertion": 0.011529215046068483, "regret_2_insertion": 0.011529215046068483}</x:v>
      </x:c>
      <x:c r="AH174" s="18" t="str">
        <x:v>[["D0", "C75", "S0", "C44", "C53", "S17", "C77", "S0", "C35", "D0"]]</x:v>
      </x:c>
    </x:row>
    <x:row r="175">
      <x:c r="A175" s="18" t="str">
        <x:v>results/week6/ablation_no_sa/alns_evrptw_summary.csv</x:v>
      </x:c>
      <x:c r="B175" s="18" t="str">
        <x:v>No_SA</x:v>
      </x:c>
      <x:c r="C175" s="18" t="str">
        <x:v>ALNS_EVRPTW_FULL_RECHARGE</x:v>
      </x:c>
      <x:c r="D175" s="18" t="str">
        <x:v>c206C5</x:v>
      </x:c>
      <x:c r="E175" s="19" t="n">
        <x:v>66</x:v>
      </x:c>
      <x:c r="F175" s="18" t="str">
        <x:v>C</x:v>
      </x:c>
      <x:c r="G175" s="19" t="n">
        <x:v>5</x:v>
      </x:c>
      <x:c r="H175" s="18" t="n">
        <x:v>1</x:v>
      </x:c>
      <x:c r="I175" s="19" t="n">
        <x:v>1</x:v>
      </x:c>
      <x:c r="J175" s="20" t="n">
        <x:v>242.555652</x:v>
      </x:c>
      <x:c r="K175" s="20" t="n">
        <x:v>2.151525</x:v>
      </x:c>
      <x:c r="L175" s="19" t="n">
        <x:v>1000</x:v>
      </x:c>
      <x:c r="M175" s="19" t="n">
        <x:v>0</x:v>
      </x:c>
      <x:c r="N175" s="19" t="n">
        <x:v>1000</x:v>
      </x:c>
      <x:c r="O175" s="19" t="n">
        <x:v>0</x:v>
      </x:c>
      <x:c r="P175" s="19" t="n">
        <x:v>1000</x:v>
      </x:c>
      <x:c r="Q175" s="19" t="n">
        <x:v>0</x:v>
      </x:c>
      <x:c r="R175" s="21" t="n">
        <x:f>P175/L175</x:f>
        <x:v>1</x:v>
      </x:c>
      <x:c r="S175" s="18" t="str">
        <x:v>iteration_limit</x:v>
      </x:c>
      <x:c r="T175" s="22" t="b">
        <x:v>0</x:v>
      </x:c>
      <x:c r="U175" s="19" t="n">
        <x:v>0</x:v>
      </x:c>
      <x:c r="V175" s="19" t="n">
        <x:v>0</x:v>
      </x:c>
      <x:c r="W175" s="19" t="n">
        <x:v>0</x:v>
      </x:c>
      <x:c r="X175" s="22" t="b">
        <x:v>0</x:v>
      </x:c>
      <x:c r="Y175" s="20" t="n">
        <x:v>0</x:v>
      </x:c>
      <x:c r="Z175" s="20" t="n">
        <x:v>0</x:v>
      </x:c>
      <x:c r="AA175" s="20" t="n">
        <x:v>0</x:v>
      </x:c>
      <x:c r="AB175" s="20" t="n">
        <x:v>1.592269</x:v>
      </x:c>
      <x:c r="AC175" s="20" t="n">
        <x:v>3</x:v>
      </x:c>
      <x:c r="AD175" s="20" t="n">
        <x:v>577.400785</x:v>
      </x:c>
      <x:c r="AE175" s="20" t="n">
        <x:v>1070.388466</x:v>
      </x:c>
      <x:c r="AF175" s="18" t="str">
        <x:v>{"random_removal": 0.011529215046068483, "related_removal": 0.011529215046068483, "worst_removal": 0.011529215046068483}</x:v>
      </x:c>
      <x:c r="AG175" s="18" t="str">
        <x:v>{"greedy_insertion": 0.011529215046068483, "regret_2_insertion": 0.011529215046068483}</x:v>
      </x:c>
      <x:c r="AH175" s="18" t="str">
        <x:v>[["D0", "C75", "S0", "C44", "C53", "S17", "C77", "S0", "C35", "D0"]]</x:v>
      </x:c>
    </x:row>
    <x:row r="176">
      <x:c r="A176" s="18" t="str">
        <x:v>results/week6/ablation_no_sa/alns_evrptw_summary.csv</x:v>
      </x:c>
      <x:c r="B176" s="18" t="str">
        <x:v>No_SA</x:v>
      </x:c>
      <x:c r="C176" s="18" t="str">
        <x:v>ALNS_EVRPTW_FULL_RECHARGE</x:v>
      </x:c>
      <x:c r="D176" s="18" t="str">
        <x:v>c202C10</x:v>
      </x:c>
      <x:c r="E176" s="19" t="n">
        <x:v>64</x:v>
      </x:c>
      <x:c r="F176" s="18" t="str">
        <x:v>C</x:v>
      </x:c>
      <x:c r="G176" s="19" t="n">
        <x:v>10</x:v>
      </x:c>
      <x:c r="H176" s="18" t="n">
        <x:v>1</x:v>
      </x:c>
      <x:c r="I176" s="19" t="n">
        <x:v>1</x:v>
      </x:c>
      <x:c r="J176" s="20" t="n">
        <x:v>304.058332</x:v>
      </x:c>
      <x:c r="K176" s="20" t="n">
        <x:v>27.647527</x:v>
      </x:c>
      <x:c r="L176" s="19" t="n">
        <x:v>1000</x:v>
      </x:c>
      <x:c r="M176" s="19" t="n">
        <x:v>2</x:v>
      </x:c>
      <x:c r="N176" s="19" t="n">
        <x:v>1000</x:v>
      </x:c>
      <x:c r="O176" s="19" t="n">
        <x:v>1</x:v>
      </x:c>
      <x:c r="P176" s="19" t="n">
        <x:v>999</x:v>
      </x:c>
      <x:c r="Q176" s="19" t="n">
        <x:v>0</x:v>
      </x:c>
      <x:c r="R176" s="21" t="n">
        <x:f>P176/L176</x:f>
        <x:v>0.999</x:v>
      </x:c>
      <x:c r="S176" s="18" t="str">
        <x:v>iteration_limit</x:v>
      </x:c>
      <x:c r="T176" s="22" t="b">
        <x:v>0</x:v>
      </x:c>
      <x:c r="U176" s="19" t="n">
        <x:v>0</x:v>
      </x:c>
      <x:c r="V176" s="19" t="n">
        <x:v>0</x:v>
      </x:c>
      <x:c r="W176" s="19" t="n">
        <x:v>0</x:v>
      </x:c>
      <x:c r="X176" s="22" t="b">
        <x:v>0</x:v>
      </x:c>
      <x:c r="Y176" s="20" t="n">
        <x:v>0</x:v>
      </x:c>
      <x:c r="Z176" s="20" t="n">
        <x:v>0</x:v>
      </x:c>
      <x:c r="AA176" s="20" t="n">
        <x:v>0</x:v>
      </x:c>
      <x:c r="AB176" s="20" t="n">
        <x:v>9.470097</x:v>
      </x:c>
      <x:c r="AC176" s="20" t="n">
        <x:v>5</x:v>
      </x:c>
      <x:c r="AD176" s="20" t="n">
        <x:v>896.598704</x:v>
      </x:c>
      <x:c r="AE176" s="20" t="n">
        <x:v>929.342963</x:v>
      </x:c>
      <x:c r="AF176" s="18" t="str">
        <x:v>{"random_removal": 0.012376951446514694, "related_removal": 0.011529215046068483, "worst_removal": 0.011529215046068483}</x:v>
      </x:c>
      <x:c r="AG176" s="18" t="str">
        <x:v>{"greedy_insertion": 0.011529215046068483, "regret_2_insertion": 0.012009599006321335}</x:v>
      </x:c>
      <x:c r="AH176" s="18" t="str">
        <x:v>[["D0", "C8", "C10", "S1", "C84", "C16", "S7", "C25", "S0", "C96", "S15", "C57", "S13", "C6", "C30", "C24", "D0"]]</x:v>
      </x:c>
    </x:row>
    <x:row r="177">
      <x:c r="A177" s="18" t="str">
        <x:v>results/week6/ablation_no_sa/alns_evrptw_summary.csv</x:v>
      </x:c>
      <x:c r="B177" s="18" t="str">
        <x:v>No_SA</x:v>
      </x:c>
      <x:c r="C177" s="18" t="str">
        <x:v>ALNS_EVRPTW_FULL_RECHARGE</x:v>
      </x:c>
      <x:c r="D177" s="18" t="str">
        <x:v>c202C10</x:v>
      </x:c>
      <x:c r="E177" s="19" t="n">
        <x:v>65</x:v>
      </x:c>
      <x:c r="F177" s="18" t="str">
        <x:v>C</x:v>
      </x:c>
      <x:c r="G177" s="19" t="n">
        <x:v>10</x:v>
      </x:c>
      <x:c r="H177" s="18" t="n">
        <x:v>1</x:v>
      </x:c>
      <x:c r="I177" s="19" t="n">
        <x:v>1</x:v>
      </x:c>
      <x:c r="J177" s="20" t="n">
        <x:v>304.058332</x:v>
      </x:c>
      <x:c r="K177" s="20" t="n">
        <x:v>27.428139</x:v>
      </x:c>
      <x:c r="L177" s="19" t="n">
        <x:v>1000</x:v>
      </x:c>
      <x:c r="M177" s="19" t="n">
        <x:v>1</x:v>
      </x:c>
      <x:c r="N177" s="19" t="n">
        <x:v>1000</x:v>
      </x:c>
      <x:c r="O177" s="19" t="n">
        <x:v>1</x:v>
      </x:c>
      <x:c r="P177" s="19" t="n">
        <x:v>999</x:v>
      </x:c>
      <x:c r="Q177" s="19" t="n">
        <x:v>0</x:v>
      </x:c>
      <x:c r="R177" s="21" t="n">
        <x:f>P177/L177</x:f>
        <x:v>0.999</x:v>
      </x:c>
      <x:c r="S177" s="18" t="str">
        <x:v>iteration_limit</x:v>
      </x:c>
      <x:c r="T177" s="22" t="b">
        <x:v>0</x:v>
      </x:c>
      <x:c r="U177" s="19" t="n">
        <x:v>0</x:v>
      </x:c>
      <x:c r="V177" s="19" t="n">
        <x:v>0</x:v>
      </x:c>
      <x:c r="W177" s="19" t="n">
        <x:v>0</x:v>
      </x:c>
      <x:c r="X177" s="22" t="b">
        <x:v>0</x:v>
      </x:c>
      <x:c r="Y177" s="20" t="n">
        <x:v>0</x:v>
      </x:c>
      <x:c r="Z177" s="20" t="n">
        <x:v>0</x:v>
      </x:c>
      <x:c r="AA177" s="20" t="n">
        <x:v>0</x:v>
      </x:c>
      <x:c r="AB177" s="20" t="n">
        <x:v>9.470097</x:v>
      </x:c>
      <x:c r="AC177" s="20" t="n">
        <x:v>5</x:v>
      </x:c>
      <x:c r="AD177" s="20" t="n">
        <x:v>896.598704</x:v>
      </x:c>
      <x:c r="AE177" s="20" t="n">
        <x:v>929.342963</x:v>
      </x:c>
      <x:c r="AF177" s="18" t="str">
        <x:v>{"random_removal": 0.011529215046068483, "related_removal": 0.011529215046068483, "worst_removal": 0.012249790986447762}</x:v>
      </x:c>
      <x:c r="AG177" s="18" t="str">
        <x:v>{"greedy_insertion": 0.012129694996384555, "regret_2_insertion": 0.011529215046068483}</x:v>
      </x:c>
      <x:c r="AH177" s="18" t="str">
        <x:v>[["D0", "C8", "C10", "S1", "C84", "C16", "S7", "C25", "S0", "C96", "S15", "C57", "S13", "C6", "C30", "C24", "D0"]]</x:v>
      </x:c>
    </x:row>
    <x:row r="178">
      <x:c r="A178" s="18" t="str">
        <x:v>results/week6/ablation_no_sa/alns_evrptw_summary.csv</x:v>
      </x:c>
      <x:c r="B178" s="18" t="str">
        <x:v>No_SA</x:v>
      </x:c>
      <x:c r="C178" s="18" t="str">
        <x:v>ALNS_EVRPTW_FULL_RECHARGE</x:v>
      </x:c>
      <x:c r="D178" s="18" t="str">
        <x:v>c202C10</x:v>
      </x:c>
      <x:c r="E178" s="19" t="n">
        <x:v>66</x:v>
      </x:c>
      <x:c r="F178" s="18" t="str">
        <x:v>C</x:v>
      </x:c>
      <x:c r="G178" s="19" t="n">
        <x:v>10</x:v>
      </x:c>
      <x:c r="H178" s="18" t="n">
        <x:v>1</x:v>
      </x:c>
      <x:c r="I178" s="19" t="n">
        <x:v>1</x:v>
      </x:c>
      <x:c r="J178" s="20" t="n">
        <x:v>304.058332</x:v>
      </x:c>
      <x:c r="K178" s="20" t="n">
        <x:v>28.237273</x:v>
      </x:c>
      <x:c r="L178" s="19" t="n">
        <x:v>1000</x:v>
      </x:c>
      <x:c r="M178" s="19" t="n">
        <x:v>1</x:v>
      </x:c>
      <x:c r="N178" s="19" t="n">
        <x:v>1000</x:v>
      </x:c>
      <x:c r="O178" s="19" t="n">
        <x:v>1</x:v>
      </x:c>
      <x:c r="P178" s="19" t="n">
        <x:v>999</x:v>
      </x:c>
      <x:c r="Q178" s="19" t="n">
        <x:v>0</x:v>
      </x:c>
      <x:c r="R178" s="21" t="n">
        <x:f>P178/L178</x:f>
        <x:v>0.999</x:v>
      </x:c>
      <x:c r="S178" s="18" t="str">
        <x:v>iteration_limit</x:v>
      </x:c>
      <x:c r="T178" s="22" t="b">
        <x:v>0</x:v>
      </x:c>
      <x:c r="U178" s="19" t="n">
        <x:v>0</x:v>
      </x:c>
      <x:c r="V178" s="19" t="n">
        <x:v>0</x:v>
      </x:c>
      <x:c r="W178" s="19" t="n">
        <x:v>0</x:v>
      </x:c>
      <x:c r="X178" s="22" t="b">
        <x:v>0</x:v>
      </x:c>
      <x:c r="Y178" s="20" t="n">
        <x:v>0</x:v>
      </x:c>
      <x:c r="Z178" s="20" t="n">
        <x:v>0</x:v>
      </x:c>
      <x:c r="AA178" s="20" t="n">
        <x:v>0</x:v>
      </x:c>
      <x:c r="AB178" s="20" t="n">
        <x:v>9.470097</x:v>
      </x:c>
      <x:c r="AC178" s="20" t="n">
        <x:v>5</x:v>
      </x:c>
      <x:c r="AD178" s="20" t="n">
        <x:v>896.598704</x:v>
      </x:c>
      <x:c r="AE178" s="20" t="n">
        <x:v>929.342963</x:v>
      </x:c>
      <x:c r="AF178" s="18" t="str">
        <x:v>{"random_removal": 0.012215477846429705, "related_removal": 0.011529215046068483, "worst_removal": 0.011529215046068483}</x:v>
      </x:c>
      <x:c r="AG178" s="18" t="str">
        <x:v>{"greedy_insertion": 0.012129694996384555, "regret_2_insertion": 0.011529215046068483}</x:v>
      </x:c>
      <x:c r="AH178" s="18" t="str">
        <x:v>[["D0", "C8", "C10", "S1", "C84", "C16", "S7", "C25", "S0", "C96", "S15", "C57", "S13", "C6", "C30", "C24", "D0"]]</x:v>
      </x:c>
    </x:row>
    <x:row r="179">
      <x:c r="A179" s="18" t="str">
        <x:v>results/week6/ablation_no_sa/alns_evrptw_summary.csv</x:v>
      </x:c>
      <x:c r="B179" s="18" t="str">
        <x:v>No_SA</x:v>
      </x:c>
      <x:c r="C179" s="18" t="str">
        <x:v>ALNS_EVRPTW_FULL_RECHARGE</x:v>
      </x:c>
      <x:c r="D179" s="18" t="str">
        <x:v>c202C15</x:v>
      </x:c>
      <x:c r="E179" s="19" t="n">
        <x:v>64</x:v>
      </x:c>
      <x:c r="F179" s="18" t="str">
        <x:v>C</x:v>
      </x:c>
      <x:c r="G179" s="19" t="n">
        <x:v>15</x:v>
      </x:c>
      <x:c r="H179" s="18" t="n">
        <x:v>1</x:v>
      </x:c>
      <x:c r="I179" s="19" t="n">
        <x:v>3</x:v>
      </x:c>
      <x:c r="J179" s="20" t="n">
        <x:v>376.789292</x:v>
      </x:c>
      <x:c r="K179" s="20" t="n">
        <x:v>87.042817</x:v>
      </x:c>
      <x:c r="L179" s="19" t="n">
        <x:v>1000</x:v>
      </x:c>
      <x:c r="M179" s="19" t="n">
        <x:v>4</x:v>
      </x:c>
      <x:c r="N179" s="19" t="n">
        <x:v>993</x:v>
      </x:c>
      <x:c r="O179" s="19" t="n">
        <x:v>2</x:v>
      </x:c>
      <x:c r="P179" s="19" t="n">
        <x:v>991</x:v>
      </x:c>
      <x:c r="Q179" s="19" t="n">
        <x:v>0</x:v>
      </x:c>
      <x:c r="R179" s="21" t="n">
        <x:f>P179/L179</x:f>
        <x:v>0.991</x:v>
      </x:c>
      <x:c r="S179" s="18" t="str">
        <x:v>iteration_limit</x:v>
      </x:c>
      <x:c r="T179" s="22" t="b">
        <x:v>0</x:v>
      </x:c>
      <x:c r="U179" s="19" t="n">
        <x:v>0</x:v>
      </x:c>
      <x:c r="V179" s="19" t="n">
        <x:v>0</x:v>
      </x:c>
      <x:c r="W179" s="19" t="n">
        <x:v>0</x:v>
      </x:c>
      <x:c r="X179" s="22" t="b">
        <x:v>0</x:v>
      </x:c>
      <x:c r="Y179" s="20" t="n">
        <x:v>0</x:v>
      </x:c>
      <x:c r="Z179" s="20" t="n">
        <x:v>0</x:v>
      </x:c>
      <x:c r="AA179" s="20" t="n">
        <x:v>0</x:v>
      </x:c>
      <x:c r="AB179" s="20" t="n">
        <x:v>2.561272</x:v>
      </x:c>
      <x:c r="AC179" s="20" t="n">
        <x:v>4</x:v>
      </x:c>
      <x:c r="AD179" s="20" t="n">
        <x:v>837.958612</x:v>
      </x:c>
      <x:c r="AE179" s="20" t="n">
        <x:v>3581.510807</x:v>
      </x:c>
      <x:c r="AF179" s="18" t="str">
        <x:v>{"random_removal": 0.011529215046068483, "related_removal": 0.012287716035941407, "worst_removal": 0.012376951446514694}</x:v>
      </x:c>
      <x:c r="AG179" s="18" t="str">
        <x:v>{"greedy_insertion": 0.012249790986447762, "regret_2_insertion": 0.012009599006321335}</x:v>
      </x:c>
      <x:c r="AH179" s="18" t="str">
        <x:v>[["D0", "C43", "C51", "C58", "S15", "C41", "D0"], ["D0", "C10", "C3", "C82", "S1", "C76", "C73", "S19", "C87", "C63", "D0"], ["D0", "C99", "S5", "C17", "C23", "C27", "D0"]]</x:v>
      </x:c>
    </x:row>
    <x:row r="180">
      <x:c r="A180" s="18" t="str">
        <x:v>results/week6/ablation_no_sa/alns_evrptw_summary.csv</x:v>
      </x:c>
      <x:c r="B180" s="18" t="str">
        <x:v>No_SA</x:v>
      </x:c>
      <x:c r="C180" s="18" t="str">
        <x:v>ALNS_EVRPTW_FULL_RECHARGE</x:v>
      </x:c>
      <x:c r="D180" s="18" t="str">
        <x:v>c202C15</x:v>
      </x:c>
      <x:c r="E180" s="19" t="n">
        <x:v>65</x:v>
      </x:c>
      <x:c r="F180" s="18" t="str">
        <x:v>C</x:v>
      </x:c>
      <x:c r="G180" s="19" t="n">
        <x:v>15</x:v>
      </x:c>
      <x:c r="H180" s="18" t="n">
        <x:v>1</x:v>
      </x:c>
      <x:c r="I180" s="19" t="n">
        <x:v>3</x:v>
      </x:c>
      <x:c r="J180" s="20" t="n">
        <x:v>376.789292</x:v>
      </x:c>
      <x:c r="K180" s="20" t="n">
        <x:v>84.982776</x:v>
      </x:c>
      <x:c r="L180" s="19" t="n">
        <x:v>1000</x:v>
      </x:c>
      <x:c r="M180" s="19" t="n">
        <x:v>7</x:v>
      </x:c>
      <x:c r="N180" s="19" t="n">
        <x:v>989</x:v>
      </x:c>
      <x:c r="O180" s="19" t="n">
        <x:v>2</x:v>
      </x:c>
      <x:c r="P180" s="19" t="n">
        <x:v>987</x:v>
      </x:c>
      <x:c r="Q180" s="19" t="n">
        <x:v>0</x:v>
      </x:c>
      <x:c r="R180" s="21" t="n">
        <x:f>P180/L180</x:f>
        <x:v>0.987</x:v>
      </x:c>
      <x:c r="S180" s="18" t="str">
        <x:v>iteration_limit</x:v>
      </x:c>
      <x:c r="T180" s="22" t="b">
        <x:v>0</x:v>
      </x:c>
      <x:c r="U180" s="19" t="n">
        <x:v>0</x:v>
      </x:c>
      <x:c r="V180" s="19" t="n">
        <x:v>0</x:v>
      </x:c>
      <x:c r="W180" s="19" t="n">
        <x:v>0</x:v>
      </x:c>
      <x:c r="X180" s="22" t="b">
        <x:v>0</x:v>
      </x:c>
      <x:c r="Y180" s="20" t="n">
        <x:v>0</x:v>
      </x:c>
      <x:c r="Z180" s="20" t="n">
        <x:v>0</x:v>
      </x:c>
      <x:c r="AA180" s="20" t="n">
        <x:v>0</x:v>
      </x:c>
      <x:c r="AB180" s="20" t="n">
        <x:v>2.561272</x:v>
      </x:c>
      <x:c r="AC180" s="20" t="n">
        <x:v>4</x:v>
      </x:c>
      <x:c r="AD180" s="20" t="n">
        <x:v>837.958612</x:v>
      </x:c>
      <x:c r="AE180" s="20" t="n">
        <x:v>3581.510807</x:v>
      </x:c>
      <x:c r="AF180" s="18" t="str">
        <x:v>{"random_removal": 0.011529215046068483, "related_removal": 0.012376951446514694, "worst_removal": 0.01232985497982324}</x:v>
      </x:c>
      <x:c r="AG180" s="18" t="str">
        <x:v>{"greedy_insertion": 0.012062975001904992, "regret_2_insertion": 0.012155802820311333}</x:v>
      </x:c>
      <x:c r="AH180" s="18" t="str">
        <x:v>[["D0", "C43", "C51", "C58", "S15", "C41", "D0"], ["D0", "C10", "C3", "C82", "S1", "C76", "C73", "S19", "C87", "C63", "D0"], ["D0", "C99", "S5", "C17", "C23", "C27", "D0"]]</x:v>
      </x:c>
    </x:row>
    <x:row r="181">
      <x:c r="A181" s="18" t="str">
        <x:v>results/week6/ablation_no_sa/alns_evrptw_summary.csv</x:v>
      </x:c>
      <x:c r="B181" s="18" t="str">
        <x:v>No_SA</x:v>
      </x:c>
      <x:c r="C181" s="18" t="str">
        <x:v>ALNS_EVRPTW_FULL_RECHARGE</x:v>
      </x:c>
      <x:c r="D181" s="18" t="str">
        <x:v>c202C15</x:v>
      </x:c>
      <x:c r="E181" s="19" t="n">
        <x:v>66</x:v>
      </x:c>
      <x:c r="F181" s="18" t="str">
        <x:v>C</x:v>
      </x:c>
      <x:c r="G181" s="19" t="n">
        <x:v>15</x:v>
      </x:c>
      <x:c r="H181" s="18" t="n">
        <x:v>1</x:v>
      </x:c>
      <x:c r="I181" s="19" t="n">
        <x:v>3</x:v>
      </x:c>
      <x:c r="J181" s="20" t="n">
        <x:v>376.789292</x:v>
      </x:c>
      <x:c r="K181" s="20" t="n">
        <x:v>90.983654</x:v>
      </x:c>
      <x:c r="L181" s="19" t="n">
        <x:v>1000</x:v>
      </x:c>
      <x:c r="M181" s="19" t="n">
        <x:v>1</x:v>
      </x:c>
      <x:c r="N181" s="19" t="n">
        <x:v>979</x:v>
      </x:c>
      <x:c r="O181" s="19" t="n">
        <x:v>1</x:v>
      </x:c>
      <x:c r="P181" s="19" t="n">
        <x:v>978</x:v>
      </x:c>
      <x:c r="Q181" s="19" t="n">
        <x:v>0</x:v>
      </x:c>
      <x:c r="R181" s="21" t="n">
        <x:f>P181/L181</x:f>
        <x:v>0.978</x:v>
      </x:c>
      <x:c r="S181" s="18" t="str">
        <x:v>iteration_limit</x:v>
      </x:c>
      <x:c r="T181" s="22" t="b">
        <x:v>0</x:v>
      </x:c>
      <x:c r="U181" s="19" t="n">
        <x:v>0</x:v>
      </x:c>
      <x:c r="V181" s="19" t="n">
        <x:v>0</x:v>
      </x:c>
      <x:c r="W181" s="19" t="n">
        <x:v>0</x:v>
      </x:c>
      <x:c r="X181" s="22" t="b">
        <x:v>0</x:v>
      </x:c>
      <x:c r="Y181" s="20" t="n">
        <x:v>0</x:v>
      </x:c>
      <x:c r="Z181" s="20" t="n">
        <x:v>0</x:v>
      </x:c>
      <x:c r="AA181" s="20" t="n">
        <x:v>0</x:v>
      </x:c>
      <x:c r="AB181" s="20" t="n">
        <x:v>2.561272</x:v>
      </x:c>
      <x:c r="AC181" s="20" t="n">
        <x:v>4</x:v>
      </x:c>
      <x:c r="AD181" s="20" t="n">
        <x:v>837.958612</x:v>
      </x:c>
      <x:c r="AE181" s="20" t="n">
        <x:v>3581.510807</x:v>
      </x:c>
      <x:c r="AF181" s="18" t="str">
        <x:v>{"random_removal": 0.012184284082776914, "related_removal": 0.011529215046068483, "worst_removal": 0.011529215046068483}</x:v>
      </x:c>
      <x:c r="AG181" s="18" t="str">
        <x:v>{"greedy_insertion": 0.012155802820311333, "regret_2_insertion": 0.011529215046068483}</x:v>
      </x:c>
      <x:c r="AH181" s="18" t="str">
        <x:v>[["D0", "C43", "C51", "C58", "S15", "C41", "D0"], ["D0", "C10", "C3", "C82", "S1", "C76", "C73", "S19", "C87", "C63", "D0"], ["D0", "C99", "S5", "C17", "C23", "C27", "D0"]]</x:v>
      </x:c>
    </x:row>
    <x:row r="182">
      <x:c r="A182" s="18" t="str">
        <x:v>results/week6/ablation_no_sa/alns_evrptw_summary.csv</x:v>
      </x:c>
      <x:c r="B182" s="18" t="str">
        <x:v>No_SA</x:v>
      </x:c>
      <x:c r="C182" s="18" t="str">
        <x:v>ALNS_EVRPTW_FULL_RECHARGE</x:v>
      </x:c>
      <x:c r="D182" s="18" t="str">
        <x:v>r105C5</x:v>
      </x:c>
      <x:c r="E182" s="19" t="n">
        <x:v>64</x:v>
      </x:c>
      <x:c r="F182" s="18" t="str">
        <x:v>R</x:v>
      </x:c>
      <x:c r="G182" s="19" t="n">
        <x:v>5</x:v>
      </x:c>
      <x:c r="H182" s="18" t="n">
        <x:v>1</x:v>
      </x:c>
      <x:c r="I182" s="19" t="n">
        <x:v>2</x:v>
      </x:c>
      <x:c r="J182" s="20" t="n">
        <x:v>156.082069</x:v>
      </x:c>
      <x:c r="K182" s="20" t="n">
        <x:v>0.885872</x:v>
      </x:c>
      <x:c r="L182" s="19" t="n">
        <x:v>1000</x:v>
      </x:c>
      <x:c r="M182" s="19" t="n">
        <x:v>0</x:v>
      </x:c>
      <x:c r="N182" s="19" t="n">
        <x:v>1000</x:v>
      </x:c>
      <x:c r="O182" s="19" t="n">
        <x:v>0</x:v>
      </x:c>
      <x:c r="P182" s="19" t="n">
        <x:v>1000</x:v>
      </x:c>
      <x:c r="Q182" s="19" t="n">
        <x:v>0</x:v>
      </x:c>
      <x:c r="R182" s="21" t="n">
        <x:f>P182/L182</x:f>
        <x:v>1</x:v>
      </x:c>
      <x:c r="S182" s="18" t="str">
        <x:v>iteration_limit</x:v>
      </x:c>
      <x:c r="T182" s="22" t="b">
        <x:v>0</x:v>
      </x:c>
      <x:c r="U182" s="19" t="n">
        <x:v>0</x:v>
      </x:c>
      <x:c r="V182" s="19" t="n">
        <x:v>0</x:v>
      </x:c>
      <x:c r="W182" s="19" t="n">
        <x:v>0</x:v>
      </x:c>
      <x:c r="X182" s="22" t="b">
        <x:v>0</x:v>
      </x:c>
      <x:c r="Y182" s="20" t="n">
        <x:v>0</x:v>
      </x:c>
      <x:c r="Z182" s="20" t="n">
        <x:v>0</x:v>
      </x:c>
      <x:c r="AA182" s="20" t="n">
        <x:v>0</x:v>
      </x:c>
      <x:c r="AB182" s="20" t="n">
        <x:v>2.82845</x:v>
      </x:c>
      <x:c r="AC182" s="20" t="n">
        <x:v>1</x:v>
      </x:c>
      <x:c r="AD182" s="20" t="n">
        <x:v>28.32276</x:v>
      </x:c>
      <x:c r="AE182" s="20" t="n">
        <x:v>129.785795</x:v>
      </x:c>
      <x:c r="AF182" s="18" t="str">
        <x:v>{"random_removal": 0.011529215046068483, "related_removal": 0.011529215046068483, "worst_removal": 0.011529215046068483}</x:v>
      </x:c>
      <x:c r="AG182" s="18" t="str">
        <x:v>{"greedy_insertion": 0.011529215046068483, "regret_2_insertion": 0.011529215046068483}</x:v>
      </x:c>
      <x:c r="AH182" s="18" t="str">
        <x:v>[["D0", "C75", "S1", "C78", "C28", "D0"], ["D0", "C91", "C95", "D0"]]</x:v>
      </x:c>
    </x:row>
    <x:row r="183">
      <x:c r="A183" s="18" t="str">
        <x:v>results/week6/ablation_no_sa/alns_evrptw_summary.csv</x:v>
      </x:c>
      <x:c r="B183" s="18" t="str">
        <x:v>No_SA</x:v>
      </x:c>
      <x:c r="C183" s="18" t="str">
        <x:v>ALNS_EVRPTW_FULL_RECHARGE</x:v>
      </x:c>
      <x:c r="D183" s="18" t="str">
        <x:v>r105C5</x:v>
      </x:c>
      <x:c r="E183" s="19" t="n">
        <x:v>65</x:v>
      </x:c>
      <x:c r="F183" s="18" t="str">
        <x:v>R</x:v>
      </x:c>
      <x:c r="G183" s="19" t="n">
        <x:v>5</x:v>
      </x:c>
      <x:c r="H183" s="18" t="n">
        <x:v>1</x:v>
      </x:c>
      <x:c r="I183" s="19" t="n">
        <x:v>2</x:v>
      </x:c>
      <x:c r="J183" s="20" t="n">
        <x:v>156.082069</x:v>
      </x:c>
      <x:c r="K183" s="20" t="n">
        <x:v>0.861166</x:v>
      </x:c>
      <x:c r="L183" s="19" t="n">
        <x:v>1000</x:v>
      </x:c>
      <x:c r="M183" s="19" t="n">
        <x:v>0</x:v>
      </x:c>
      <x:c r="N183" s="19" t="n">
        <x:v>1000</x:v>
      </x:c>
      <x:c r="O183" s="19" t="n">
        <x:v>0</x:v>
      </x:c>
      <x:c r="P183" s="19" t="n">
        <x:v>1000</x:v>
      </x:c>
      <x:c r="Q183" s="19" t="n">
        <x:v>0</x:v>
      </x:c>
      <x:c r="R183" s="21" t="n">
        <x:f>P183/L183</x:f>
        <x:v>1</x:v>
      </x:c>
      <x:c r="S183" s="18" t="str">
        <x:v>iteration_limit</x:v>
      </x:c>
      <x:c r="T183" s="22" t="b">
        <x:v>0</x:v>
      </x:c>
      <x:c r="U183" s="19" t="n">
        <x:v>0</x:v>
      </x:c>
      <x:c r="V183" s="19" t="n">
        <x:v>0</x:v>
      </x:c>
      <x:c r="W183" s="19" t="n">
        <x:v>0</x:v>
      </x:c>
      <x:c r="X183" s="22" t="b">
        <x:v>0</x:v>
      </x:c>
      <x:c r="Y183" s="20" t="n">
        <x:v>0</x:v>
      </x:c>
      <x:c r="Z183" s="20" t="n">
        <x:v>0</x:v>
      </x:c>
      <x:c r="AA183" s="20" t="n">
        <x:v>0</x:v>
      </x:c>
      <x:c r="AB183" s="20" t="n">
        <x:v>2.82845</x:v>
      </x:c>
      <x:c r="AC183" s="20" t="n">
        <x:v>1</x:v>
      </x:c>
      <x:c r="AD183" s="20" t="n">
        <x:v>28.32276</x:v>
      </x:c>
      <x:c r="AE183" s="20" t="n">
        <x:v>129.785795</x:v>
      </x:c>
      <x:c r="AF183" s="18" t="str">
        <x:v>{"random_removal": 0.011529215046068483, "related_removal": 0.011529215046068483, "worst_removal": 0.011529215046068483}</x:v>
      </x:c>
      <x:c r="AG183" s="18" t="str">
        <x:v>{"greedy_insertion": 0.011529215046068483, "regret_2_insertion": 0.011529215046068483}</x:v>
      </x:c>
      <x:c r="AH183" s="18" t="str">
        <x:v>[["D0", "C75", "S1", "C78", "C28", "D0"], ["D0", "C91", "C95", "D0"]]</x:v>
      </x:c>
    </x:row>
    <x:row r="184">
      <x:c r="A184" s="18" t="str">
        <x:v>results/week6/ablation_no_sa/alns_evrptw_summary.csv</x:v>
      </x:c>
      <x:c r="B184" s="18" t="str">
        <x:v>No_SA</x:v>
      </x:c>
      <x:c r="C184" s="18" t="str">
        <x:v>ALNS_EVRPTW_FULL_RECHARGE</x:v>
      </x:c>
      <x:c r="D184" s="18" t="str">
        <x:v>r105C5</x:v>
      </x:c>
      <x:c r="E184" s="19" t="n">
        <x:v>66</x:v>
      </x:c>
      <x:c r="F184" s="18" t="str">
        <x:v>R</x:v>
      </x:c>
      <x:c r="G184" s="19" t="n">
        <x:v>5</x:v>
      </x:c>
      <x:c r="H184" s="18" t="n">
        <x:v>1</x:v>
      </x:c>
      <x:c r="I184" s="19" t="n">
        <x:v>2</x:v>
      </x:c>
      <x:c r="J184" s="20" t="n">
        <x:v>156.082069</x:v>
      </x:c>
      <x:c r="K184" s="20" t="n">
        <x:v>0.902836</x:v>
      </x:c>
      <x:c r="L184" s="19" t="n">
        <x:v>1000</x:v>
      </x:c>
      <x:c r="M184" s="19" t="n">
        <x:v>0</x:v>
      </x:c>
      <x:c r="N184" s="19" t="n">
        <x:v>1000</x:v>
      </x:c>
      <x:c r="O184" s="19" t="n">
        <x:v>0</x:v>
      </x:c>
      <x:c r="P184" s="19" t="n">
        <x:v>1000</x:v>
      </x:c>
      <x:c r="Q184" s="19" t="n">
        <x:v>0</x:v>
      </x:c>
      <x:c r="R184" s="21" t="n">
        <x:f>P184/L184</x:f>
        <x:v>1</x:v>
      </x:c>
      <x:c r="S184" s="18" t="str">
        <x:v>iteration_limit</x:v>
      </x:c>
      <x:c r="T184" s="22" t="b">
        <x:v>0</x:v>
      </x:c>
      <x:c r="U184" s="19" t="n">
        <x:v>0</x:v>
      </x:c>
      <x:c r="V184" s="19" t="n">
        <x:v>0</x:v>
      </x:c>
      <x:c r="W184" s="19" t="n">
        <x:v>0</x:v>
      </x:c>
      <x:c r="X184" s="22" t="b">
        <x:v>0</x:v>
      </x:c>
      <x:c r="Y184" s="20" t="n">
        <x:v>0</x:v>
      </x:c>
      <x:c r="Z184" s="20" t="n">
        <x:v>0</x:v>
      </x:c>
      <x:c r="AA184" s="20" t="n">
        <x:v>0</x:v>
      </x:c>
      <x:c r="AB184" s="20" t="n">
        <x:v>2.82845</x:v>
      </x:c>
      <x:c r="AC184" s="20" t="n">
        <x:v>1</x:v>
      </x:c>
      <x:c r="AD184" s="20" t="n">
        <x:v>28.32276</x:v>
      </x:c>
      <x:c r="AE184" s="20" t="n">
        <x:v>129.785795</x:v>
      </x:c>
      <x:c r="AF184" s="18" t="str">
        <x:v>{"random_removal": 0.011529215046068483, "related_removal": 0.011529215046068483, "worst_removal": 0.011529215046068483}</x:v>
      </x:c>
      <x:c r="AG184" s="18" t="str">
        <x:v>{"greedy_insertion": 0.011529215046068483, "regret_2_insertion": 0.011529215046068483}</x:v>
      </x:c>
      <x:c r="AH184" s="18" t="str">
        <x:v>[["D0", "C75", "S1", "C78", "C28", "D0"], ["D0", "C91", "C95", "D0"]]</x:v>
      </x:c>
    </x:row>
    <x:row r="185">
      <x:c r="A185" s="18" t="str">
        <x:v>results/week6/ablation_no_sa/alns_evrptw_summary.csv</x:v>
      </x:c>
      <x:c r="B185" s="18" t="str">
        <x:v>No_SA</x:v>
      </x:c>
      <x:c r="C185" s="18" t="str">
        <x:v>ALNS_EVRPTW_FULL_RECHARGE</x:v>
      </x:c>
      <x:c r="D185" s="18" t="str">
        <x:v>r103C10</x:v>
      </x:c>
      <x:c r="E185" s="19" t="n">
        <x:v>64</x:v>
      </x:c>
      <x:c r="F185" s="18" t="str">
        <x:v>R</x:v>
      </x:c>
      <x:c r="G185" s="19" t="n">
        <x:v>10</x:v>
      </x:c>
      <x:c r="H185" s="18" t="n">
        <x:v>1</x:v>
      </x:c>
      <x:c r="I185" s="19" t="n">
        <x:v>2</x:v>
      </x:c>
      <x:c r="J185" s="20" t="n">
        <x:v>207.051154</x:v>
      </x:c>
      <x:c r="K185" s="20" t="n">
        <x:v>11.973034</x:v>
      </x:c>
      <x:c r="L185" s="19" t="n">
        <x:v>1000</x:v>
      </x:c>
      <x:c r="M185" s="19" t="n">
        <x:v>9</x:v>
      </x:c>
      <x:c r="N185" s="19" t="n">
        <x:v>941</x:v>
      </x:c>
      <x:c r="O185" s="19" t="n">
        <x:v>1</x:v>
      </x:c>
      <x:c r="P185" s="19" t="n">
        <x:v>940</x:v>
      </x:c>
      <x:c r="Q185" s="19" t="n">
        <x:v>0</x:v>
      </x:c>
      <x:c r="R185" s="21" t="n">
        <x:f>P185/L185</x:f>
        <x:v>0.94</x:v>
      </x:c>
      <x:c r="S185" s="18" t="str">
        <x:v>iteration_limit</x:v>
      </x:c>
      <x:c r="T185" s="22" t="b">
        <x:v>0</x:v>
      </x:c>
      <x:c r="U185" s="19" t="n">
        <x:v>0</x:v>
      </x:c>
      <x:c r="V185" s="19" t="n">
        <x:v>0</x:v>
      </x:c>
      <x:c r="W185" s="19" t="n">
        <x:v>0</x:v>
      </x:c>
      <x:c r="X185" s="22" t="b">
        <x:v>0</x:v>
      </x:c>
      <x:c r="Y185" s="20" t="n">
        <x:v>0</x:v>
      </x:c>
      <x:c r="Z185" s="20" t="n">
        <x:v>0</x:v>
      </x:c>
      <x:c r="AA185" s="20" t="n">
        <x:v>0</x:v>
      </x:c>
      <x:c r="AB185" s="20" t="n">
        <x:v>0.425419</x:v>
      </x:c>
      <x:c r="AC185" s="20" t="n">
        <x:v>3</x:v>
      </x:c>
      <x:c r="AD185" s="20" t="n">
        <x:v>49.247992</x:v>
      </x:c>
      <x:c r="AE185" s="20" t="n">
        <x:v>58.548169</x:v>
      </x:c>
      <x:c r="AF185" s="18" t="str">
        <x:v>{"random_removal": 0.011529215046068483, "related_removal": 0.012429934971542581, "worst_removal": 0.011529215046068483}</x:v>
      </x:c>
      <x:c r="AG185" s="18" t="str">
        <x:v>{"greedy_insertion": 0.011529215046068483, "regret_2_insertion": 0.012009599006321335}</x:v>
      </x:c>
      <x:c r="AH185" s="18" t="str">
        <x:v>[["D0", "C26", "C53", "C16", "C91", "S13", "S0", "C81", "D0"], ["D0", "C18", "S9", "C45", "C84", "C83", "C27", "D0"]]</x:v>
      </x:c>
    </x:row>
    <x:row r="186">
      <x:c r="A186" s="18" t="str">
        <x:v>results/week6/ablation_no_sa/alns_evrptw_summary.csv</x:v>
      </x:c>
      <x:c r="B186" s="18" t="str">
        <x:v>No_SA</x:v>
      </x:c>
      <x:c r="C186" s="18" t="str">
        <x:v>ALNS_EVRPTW_FULL_RECHARGE</x:v>
      </x:c>
      <x:c r="D186" s="18" t="str">
        <x:v>r103C10</x:v>
      </x:c>
      <x:c r="E186" s="19" t="n">
        <x:v>65</x:v>
      </x:c>
      <x:c r="F186" s="18" t="str">
        <x:v>R</x:v>
      </x:c>
      <x:c r="G186" s="19" t="n">
        <x:v>10</x:v>
      </x:c>
      <x:c r="H186" s="18" t="n">
        <x:v>1</x:v>
      </x:c>
      <x:c r="I186" s="19" t="n">
        <x:v>2</x:v>
      </x:c>
      <x:c r="J186" s="20" t="n">
        <x:v>207.051154</x:v>
      </x:c>
      <x:c r="K186" s="20" t="n">
        <x:v>12.090156</x:v>
      </x:c>
      <x:c r="L186" s="19" t="n">
        <x:v>1000</x:v>
      </x:c>
      <x:c r="M186" s="19" t="n">
        <x:v>1</x:v>
      </x:c>
      <x:c r="N186" s="19" t="n">
        <x:v>934</x:v>
      </x:c>
      <x:c r="O186" s="19" t="n">
        <x:v>1</x:v>
      </x:c>
      <x:c r="P186" s="19" t="n">
        <x:v>933</x:v>
      </x:c>
      <x:c r="Q186" s="19" t="n">
        <x:v>0</x:v>
      </x:c>
      <x:c r="R186" s="21" t="n">
        <x:f>P186/L186</x:f>
        <x:v>0.933</x:v>
      </x:c>
      <x:c r="S186" s="18" t="str">
        <x:v>iteration_limit</x:v>
      </x:c>
      <x:c r="T186" s="22" t="b">
        <x:v>0</x:v>
      </x:c>
      <x:c r="U186" s="19" t="n">
        <x:v>0</x:v>
      </x:c>
      <x:c r="V186" s="19" t="n">
        <x:v>0</x:v>
      </x:c>
      <x:c r="W186" s="19" t="n">
        <x:v>0</x:v>
      </x:c>
      <x:c r="X186" s="22" t="b">
        <x:v>0</x:v>
      </x:c>
      <x:c r="Y186" s="20" t="n">
        <x:v>0</x:v>
      </x:c>
      <x:c r="Z186" s="20" t="n">
        <x:v>0</x:v>
      </x:c>
      <x:c r="AA186" s="20" t="n">
        <x:v>0</x:v>
      </x:c>
      <x:c r="AB186" s="20" t="n">
        <x:v>0.425419</x:v>
      </x:c>
      <x:c r="AC186" s="20" t="n">
        <x:v>3</x:v>
      </x:c>
      <x:c r="AD186" s="20" t="n">
        <x:v>49.247992</x:v>
      </x:c>
      <x:c r="AE186" s="20" t="n">
        <x:v>58.548169</x:v>
      </x:c>
      <x:c r="AF186" s="18" t="str">
        <x:v>{"random_removal": 0.011529215046068483, "related_removal": 0.011529215046068483, "worst_removal": 0.012249790986447762}</x:v>
      </x:c>
      <x:c r="AG186" s="18" t="str">
        <x:v>{"greedy_insertion": 0.012129694996384555, "regret_2_insertion": 0.011529215046068483}</x:v>
      </x:c>
      <x:c r="AH186" s="18" t="str">
        <x:v>[["D0", "C26", "C53", "C16", "C91", "S13", "S0", "C81", "D0"], ["D0", "C18", "S9", "C45", "C84", "C83", "C27", "D0"]]</x:v>
      </x:c>
    </x:row>
    <x:row r="187">
      <x:c r="A187" s="18" t="str">
        <x:v>results/week6/ablation_no_sa/alns_evrptw_summary.csv</x:v>
      </x:c>
      <x:c r="B187" s="18" t="str">
        <x:v>No_SA</x:v>
      </x:c>
      <x:c r="C187" s="18" t="str">
        <x:v>ALNS_EVRPTW_FULL_RECHARGE</x:v>
      </x:c>
      <x:c r="D187" s="18" t="str">
        <x:v>r103C10</x:v>
      </x:c>
      <x:c r="E187" s="19" t="n">
        <x:v>66</x:v>
      </x:c>
      <x:c r="F187" s="18" t="str">
        <x:v>R</x:v>
      </x:c>
      <x:c r="G187" s="19" t="n">
        <x:v>10</x:v>
      </x:c>
      <x:c r="H187" s="18" t="n">
        <x:v>1</x:v>
      </x:c>
      <x:c r="I187" s="19" t="n">
        <x:v>2</x:v>
      </x:c>
      <x:c r="J187" s="20" t="n">
        <x:v>207.051154</x:v>
      </x:c>
      <x:c r="K187" s="20" t="n">
        <x:v>12.285477</x:v>
      </x:c>
      <x:c r="L187" s="19" t="n">
        <x:v>1000</x:v>
      </x:c>
      <x:c r="M187" s="19" t="n">
        <x:v>1</x:v>
      </x:c>
      <x:c r="N187" s="19" t="n">
        <x:v>945</x:v>
      </x:c>
      <x:c r="O187" s="19" t="n">
        <x:v>1</x:v>
      </x:c>
      <x:c r="P187" s="19" t="n">
        <x:v>944</x:v>
      </x:c>
      <x:c r="Q187" s="19" t="n">
        <x:v>0</x:v>
      </x:c>
      <x:c r="R187" s="21" t="n">
        <x:f>P187/L187</x:f>
        <x:v>0.944</x:v>
      </x:c>
      <x:c r="S187" s="18" t="str">
        <x:v>iteration_limit</x:v>
      </x:c>
      <x:c r="T187" s="22" t="b">
        <x:v>0</x:v>
      </x:c>
      <x:c r="U187" s="19" t="n">
        <x:v>0</x:v>
      </x:c>
      <x:c r="V187" s="19" t="n">
        <x:v>0</x:v>
      </x:c>
      <x:c r="W187" s="19" t="n">
        <x:v>0</x:v>
      </x:c>
      <x:c r="X187" s="22" t="b">
        <x:v>0</x:v>
      </x:c>
      <x:c r="Y187" s="20" t="n">
        <x:v>0</x:v>
      </x:c>
      <x:c r="Z187" s="20" t="n">
        <x:v>0</x:v>
      </x:c>
      <x:c r="AA187" s="20" t="n">
        <x:v>0</x:v>
      </x:c>
      <x:c r="AB187" s="20" t="n">
        <x:v>0.425419</x:v>
      </x:c>
      <x:c r="AC187" s="20" t="n">
        <x:v>3</x:v>
      </x:c>
      <x:c r="AD187" s="20" t="n">
        <x:v>49.247992</x:v>
      </x:c>
      <x:c r="AE187" s="20" t="n">
        <x:v>58.548169</x:v>
      </x:c>
      <x:c r="AF187" s="18" t="str">
        <x:v>{"random_removal": 0.012215477846429705, "related_removal": 0.011529215046068483, "worst_removal": 0.011529215046068483}</x:v>
      </x:c>
      <x:c r="AG187" s="18" t="str">
        <x:v>{"greedy_insertion": 0.012129694996384555, "regret_2_insertion": 0.011529215046068483}</x:v>
      </x:c>
      <x:c r="AH187" s="18" t="str">
        <x:v>[["D0", "C26", "C53", "C16", "C91", "S13", "S0", "C81", "D0"], ["D0", "C18", "S9", "C45", "C84", "C83", "C27", "D0"]]</x:v>
      </x:c>
    </x:row>
    <x:row r="188">
      <x:c r="A188" s="18" t="str">
        <x:v>results/week6/ablation_no_sa/alns_evrptw_summary.csv</x:v>
      </x:c>
      <x:c r="B188" s="18" t="str">
        <x:v>No_SA</x:v>
      </x:c>
      <x:c r="C188" s="18" t="str">
        <x:v>ALNS_EVRPTW_FULL_RECHARGE</x:v>
      </x:c>
      <x:c r="D188" s="18" t="str">
        <x:v>r105C15</x:v>
      </x:c>
      <x:c r="E188" s="19" t="n">
        <x:v>64</x:v>
      </x:c>
      <x:c r="F188" s="18" t="str">
        <x:v>R</x:v>
      </x:c>
      <x:c r="G188" s="19" t="n">
        <x:v>15</x:v>
      </x:c>
      <x:c r="H188" s="18" t="n">
        <x:v>1</x:v>
      </x:c>
      <x:c r="I188" s="19" t="n">
        <x:v>4</x:v>
      </x:c>
      <x:c r="J188" s="20" t="n">
        <x:v>336.153602</x:v>
      </x:c>
      <x:c r="K188" s="20" t="n">
        <x:v>54.401003</x:v>
      </x:c>
      <x:c r="L188" s="19" t="n">
        <x:v>1000</x:v>
      </x:c>
      <x:c r="M188" s="19" t="n">
        <x:v>3</x:v>
      </x:c>
      <x:c r="N188" s="19" t="n">
        <x:v>990</x:v>
      </x:c>
      <x:c r="O188" s="19" t="n">
        <x:v>2</x:v>
      </x:c>
      <x:c r="P188" s="19" t="n">
        <x:v>988</x:v>
      </x:c>
      <x:c r="Q188" s="19" t="n">
        <x:v>0</x:v>
      </x:c>
      <x:c r="R188" s="21" t="n">
        <x:f>P188/L188</x:f>
        <x:v>0.988</x:v>
      </x:c>
      <x:c r="S188" s="18" t="str">
        <x:v>iteration_limit</x:v>
      </x:c>
      <x:c r="T188" s="22" t="b">
        <x:v>0</x:v>
      </x:c>
      <x:c r="U188" s="19" t="n">
        <x:v>0</x:v>
      </x:c>
      <x:c r="V188" s="19" t="n">
        <x:v>0</x:v>
      </x:c>
      <x:c r="W188" s="19" t="n">
        <x:v>0</x:v>
      </x:c>
      <x:c r="X188" s="22" t="b">
        <x:v>0</x:v>
      </x:c>
      <x:c r="Y188" s="20" t="n">
        <x:v>0</x:v>
      </x:c>
      <x:c r="Z188" s="20" t="n">
        <x:v>0</x:v>
      </x:c>
      <x:c r="AA188" s="20" t="n">
        <x:v>0</x:v>
      </x:c>
      <x:c r="AB188" s="20" t="n">
        <x:v>1.851332</x:v>
      </x:c>
      <x:c r="AC188" s="20" t="n">
        <x:v>4</x:v>
      </x:c>
      <x:c r="AD188" s="20" t="n">
        <x:v>80.684092</x:v>
      </x:c>
      <x:c r="AE188" s="20" t="n">
        <x:v>214.082303</x:v>
      </x:c>
      <x:c r="AF188" s="18" t="str">
        <x:v>{"random_removal": 0.012558609246610312, "related_removal": 0.011529215046068483, "worst_removal": 0.012376951446514694}</x:v>
      </x:c>
      <x:c r="AG188" s="18" t="str">
        <x:v>{"greedy_insertion": 0.012249790986447762, "regret_2_insertion": 0.012009599006321335}</x:v>
      </x:c>
      <x:c r="AH188" s="18" t="str">
        <x:v>[["D0", "C8", "C17", "C85", "S13", "C95", "C5", "D0"], ["D0", "C70", "S3", "C9", "C29", "S1", "C25", "C28", "D0"], ["D0", "C56", "C23", "S17", "C57", "D0"], ["D0", "C50", "C69", "D0"]]</x:v>
      </x:c>
    </x:row>
    <x:row r="189">
      <x:c r="A189" s="18" t="str">
        <x:v>results/week6/ablation_no_sa/alns_evrptw_summary.csv</x:v>
      </x:c>
      <x:c r="B189" s="18" t="str">
        <x:v>No_SA</x:v>
      </x:c>
      <x:c r="C189" s="18" t="str">
        <x:v>ALNS_EVRPTW_FULL_RECHARGE</x:v>
      </x:c>
      <x:c r="D189" s="18" t="str">
        <x:v>r105C15</x:v>
      </x:c>
      <x:c r="E189" s="19" t="n">
        <x:v>65</x:v>
      </x:c>
      <x:c r="F189" s="18" t="str">
        <x:v>R</x:v>
      </x:c>
      <x:c r="G189" s="19" t="n">
        <x:v>15</x:v>
      </x:c>
      <x:c r="H189" s="18" t="n">
        <x:v>1</x:v>
      </x:c>
      <x:c r="I189" s="19" t="n">
        <x:v>4</x:v>
      </x:c>
      <x:c r="J189" s="20" t="n">
        <x:v>336.153602</x:v>
      </x:c>
      <x:c r="K189" s="20" t="n">
        <x:v>46.299812</x:v>
      </x:c>
      <x:c r="L189" s="19" t="n">
        <x:v>1000</x:v>
      </x:c>
      <x:c r="M189" s="19" t="n">
        <x:v>542</x:v>
      </x:c>
      <x:c r="N189" s="19" t="n">
        <x:v>992</x:v>
      </x:c>
      <x:c r="O189" s="19" t="n">
        <x:v>4</x:v>
      </x:c>
      <x:c r="P189" s="19" t="n">
        <x:v>988</x:v>
      </x:c>
      <x:c r="Q189" s="19" t="n">
        <x:v>0</x:v>
      </x:c>
      <x:c r="R189" s="21" t="n">
        <x:f>P189/L189</x:f>
        <x:v>0.988</x:v>
      </x:c>
      <x:c r="S189" s="18" t="str">
        <x:v>iteration_limit</x:v>
      </x:c>
      <x:c r="T189" s="22" t="b">
        <x:v>0</x:v>
      </x:c>
      <x:c r="U189" s="19" t="n">
        <x:v>0</x:v>
      </x:c>
      <x:c r="V189" s="19" t="n">
        <x:v>0</x:v>
      </x:c>
      <x:c r="W189" s="19" t="n">
        <x:v>0</x:v>
      </x:c>
      <x:c r="X189" s="22" t="b">
        <x:v>0</x:v>
      </x:c>
      <x:c r="Y189" s="20" t="n">
        <x:v>0</x:v>
      </x:c>
      <x:c r="Z189" s="20" t="n">
        <x:v>0</x:v>
      </x:c>
      <x:c r="AA189" s="20" t="n">
        <x:v>0</x:v>
      </x:c>
      <x:c r="AB189" s="20" t="n">
        <x:v>1.851332</x:v>
      </x:c>
      <x:c r="AC189" s="20" t="n">
        <x:v>4</x:v>
      </x:c>
      <x:c r="AD189" s="20" t="n">
        <x:v>80.684092</x:v>
      </x:c>
      <x:c r="AE189" s="20" t="n">
        <x:v>214.082303</x:v>
      </x:c>
      <x:c r="AF189" s="18" t="str">
        <x:v>{"random_removal": 0.019946523411018637, "related_removal": 0.012376951446514694, "worst_removal": 0.01232985497982324}</x:v>
      </x:c>
      <x:c r="AG189" s="18" t="str">
        <x:v>{"greedy_insertion": 0.011529215046068483, "regret_2_insertion": 0.018037175886038426}</x:v>
      </x:c>
      <x:c r="AH189" s="18" t="str">
        <x:v>[["D0", "C8", "C17", "C85", "S13", "C95", "C5", "D0"], ["D0", "C50", "C69", "D0"], ["D0", "C56", "C23", "S17", "C57", "D0"], ["D0", "C70", "S3", "C9", "C29", "S1", "C25", "C28", "D0"]]</x:v>
      </x:c>
    </x:row>
    <x:row r="190">
      <x:c r="A190" s="18" t="str">
        <x:v>results/week6/ablation_no_sa/alns_evrptw_summary.csv</x:v>
      </x:c>
      <x:c r="B190" s="18" t="str">
        <x:v>No_SA</x:v>
      </x:c>
      <x:c r="C190" s="18" t="str">
        <x:v>ALNS_EVRPTW_FULL_RECHARGE</x:v>
      </x:c>
      <x:c r="D190" s="18" t="str">
        <x:v>r105C15</x:v>
      </x:c>
      <x:c r="E190" s="19" t="n">
        <x:v>66</x:v>
      </x:c>
      <x:c r="F190" s="18" t="str">
        <x:v>R</x:v>
      </x:c>
      <x:c r="G190" s="19" t="n">
        <x:v>15</x:v>
      </x:c>
      <x:c r="H190" s="18" t="n">
        <x:v>1</x:v>
      </x:c>
      <x:c r="I190" s="19" t="n">
        <x:v>4</x:v>
      </x:c>
      <x:c r="J190" s="20" t="n">
        <x:v>336.153602</x:v>
      </x:c>
      <x:c r="K190" s="20" t="n">
        <x:v>53.717166</x:v>
      </x:c>
      <x:c r="L190" s="19" t="n">
        <x:v>1000</x:v>
      </x:c>
      <x:c r="M190" s="19" t="n">
        <x:v>18</x:v>
      </x:c>
      <x:c r="N190" s="19" t="n">
        <x:v>987</x:v>
      </x:c>
      <x:c r="O190" s="19" t="n">
        <x:v>2</x:v>
      </x:c>
      <x:c r="P190" s="19" t="n">
        <x:v>985</x:v>
      </x:c>
      <x:c r="Q190" s="19" t="n">
        <x:v>0</x:v>
      </x:c>
      <x:c r="R190" s="21" t="n">
        <x:f>P190/L190</x:f>
        <x:v>0.985</x:v>
      </x:c>
      <x:c r="S190" s="18" t="str">
        <x:v>iteration_limit</x:v>
      </x:c>
      <x:c r="T190" s="22" t="b">
        <x:v>0</x:v>
      </x:c>
      <x:c r="U190" s="19" t="n">
        <x:v>0</x:v>
      </x:c>
      <x:c r="V190" s="19" t="n">
        <x:v>0</x:v>
      </x:c>
      <x:c r="W190" s="19" t="n">
        <x:v>0</x:v>
      </x:c>
      <x:c r="X190" s="22" t="b">
        <x:v>0</x:v>
      </x:c>
      <x:c r="Y190" s="20" t="n">
        <x:v>0</x:v>
      </x:c>
      <x:c r="Z190" s="20" t="n">
        <x:v>0</x:v>
      </x:c>
      <x:c r="AA190" s="20" t="n">
        <x:v>0</x:v>
      </x:c>
      <x:c r="AB190" s="20" t="n">
        <x:v>1.851332</x:v>
      </x:c>
      <x:c r="AC190" s="20" t="n">
        <x:v>4</x:v>
      </x:c>
      <x:c r="AD190" s="20" t="n">
        <x:v>80.684092</x:v>
      </x:c>
      <x:c r="AE190" s="20" t="n">
        <x:v>214.082303</x:v>
      </x:c>
      <x:c r="AF190" s="18" t="str">
        <x:v>{"random_removal": 0.012184284082776914, "related_removal": 0.011529215046068483, "worst_removal": 0.01232985497982324}</x:v>
      </x:c>
      <x:c r="AG190" s="18" t="str">
        <x:v>{"greedy_insertion": 0.012782390594554183, "regret_2_insertion": 0.011529215046068483}</x:v>
      </x:c>
      <x:c r="AH190" s="18" t="str">
        <x:v>[["D0", "C8", "C17", "C85", "S13", "C95", "C5", "D0"], ["D0", "C70", "S3", "C9", "C29", "S1", "C25", "C28", "D0"], ["D0", "C56", "C23", "S17", "C57", "D0"], ["D0", "C50", "C69", "D0"]]</x:v>
      </x:c>
    </x:row>
    <x:row r="191">
      <x:c r="A191" s="18" t="str">
        <x:v>results/week6/ablation_no_sa/alns_evrptw_summary.csv</x:v>
      </x:c>
      <x:c r="B191" s="18" t="str">
        <x:v>No_SA</x:v>
      </x:c>
      <x:c r="C191" s="18" t="str">
        <x:v>ALNS_EVRPTW_FULL_RECHARGE</x:v>
      </x:c>
      <x:c r="D191" s="18" t="str">
        <x:v>r202C5</x:v>
      </x:c>
      <x:c r="E191" s="19" t="n">
        <x:v>64</x:v>
      </x:c>
      <x:c r="F191" s="18" t="str">
        <x:v>R</x:v>
      </x:c>
      <x:c r="G191" s="19" t="n">
        <x:v>5</x:v>
      </x:c>
      <x:c r="H191" s="18" t="n">
        <x:v>1</x:v>
      </x:c>
      <x:c r="I191" s="19" t="n">
        <x:v>1</x:v>
      </x:c>
      <x:c r="J191" s="20" t="n">
        <x:v>128.777139</x:v>
      </x:c>
      <x:c r="K191" s="20" t="n">
        <x:v>2.688392</x:v>
      </x:c>
      <x:c r="L191" s="19" t="n">
        <x:v>1000</x:v>
      </x:c>
      <x:c r="M191" s="19" t="n">
        <x:v>0</x:v>
      </x:c>
      <x:c r="N191" s="19" t="n">
        <x:v>1000</x:v>
      </x:c>
      <x:c r="O191" s="19" t="n">
        <x:v>0</x:v>
      </x:c>
      <x:c r="P191" s="19" t="n">
        <x:v>1000</x:v>
      </x:c>
      <x:c r="Q191" s="19" t="n">
        <x:v>0</x:v>
      </x:c>
      <x:c r="R191" s="21" t="n">
        <x:f>P191/L191</x:f>
        <x:v>1</x:v>
      </x:c>
      <x:c r="S191" s="18" t="str">
        <x:v>iteration_limit</x:v>
      </x:c>
      <x:c r="T191" s="22" t="b">
        <x:v>0</x:v>
      </x:c>
      <x:c r="U191" s="19" t="n">
        <x:v>0</x:v>
      </x:c>
      <x:c r="V191" s="19" t="n">
        <x:v>0</x:v>
      </x:c>
      <x:c r="W191" s="19" t="n">
        <x:v>0</x:v>
      </x:c>
      <x:c r="X191" s="22" t="b">
        <x:v>0</x:v>
      </x:c>
      <x:c r="Y191" s="20" t="n">
        <x:v>0</x:v>
      </x:c>
      <x:c r="Z191" s="20" t="n">
        <x:v>0</x:v>
      </x:c>
      <x:c r="AA191" s="20" t="n">
        <x:v>0</x:v>
      </x:c>
      <x:c r="AB191" s="20" t="n">
        <x:v>0.273651</x:v>
      </x:c>
      <x:c r="AC191" s="20" t="n">
        <x:v>2</x:v>
      </x:c>
      <x:c r="AD191" s="20" t="n">
        <x:v>36.590343</x:v>
      </x:c>
      <x:c r="AE191" s="20" t="n">
        <x:v>213.443906</x:v>
      </x:c>
      <x:c r="AF191" s="18" t="str">
        <x:v>{"random_removal": 0.011529215046068483, "related_removal": 0.011529215046068483, "worst_removal": 0.011529215046068483}</x:v>
      </x:c>
      <x:c r="AG191" s="18" t="str">
        <x:v>{"greedy_insertion": 0.011529215046068483, "regret_2_insertion": 0.011529215046068483}</x:v>
      </x:c>
      <x:c r="AH191" s="18" t="str">
        <x:v>[["D0", "C77", "C72", "S15", "S13", "C37", "C17", "C18", "D0"]]</x:v>
      </x:c>
    </x:row>
    <x:row r="192">
      <x:c r="A192" s="18" t="str">
        <x:v>results/week6/ablation_no_sa/alns_evrptw_summary.csv</x:v>
      </x:c>
      <x:c r="B192" s="18" t="str">
        <x:v>No_SA</x:v>
      </x:c>
      <x:c r="C192" s="18" t="str">
        <x:v>ALNS_EVRPTW_FULL_RECHARGE</x:v>
      </x:c>
      <x:c r="D192" s="18" t="str">
        <x:v>r202C5</x:v>
      </x:c>
      <x:c r="E192" s="19" t="n">
        <x:v>65</x:v>
      </x:c>
      <x:c r="F192" s="18" t="str">
        <x:v>R</x:v>
      </x:c>
      <x:c r="G192" s="19" t="n">
        <x:v>5</x:v>
      </x:c>
      <x:c r="H192" s="18" t="n">
        <x:v>1</x:v>
      </x:c>
      <x:c r="I192" s="19" t="n">
        <x:v>1</x:v>
      </x:c>
      <x:c r="J192" s="20" t="n">
        <x:v>128.777139</x:v>
      </x:c>
      <x:c r="K192" s="20" t="n">
        <x:v>2.758075</x:v>
      </x:c>
      <x:c r="L192" s="19" t="n">
        <x:v>1000</x:v>
      </x:c>
      <x:c r="M192" s="19" t="n">
        <x:v>0</x:v>
      </x:c>
      <x:c r="N192" s="19" t="n">
        <x:v>1000</x:v>
      </x:c>
      <x:c r="O192" s="19" t="n">
        <x:v>0</x:v>
      </x:c>
      <x:c r="P192" s="19" t="n">
        <x:v>1000</x:v>
      </x:c>
      <x:c r="Q192" s="19" t="n">
        <x:v>0</x:v>
      </x:c>
      <x:c r="R192" s="21" t="n">
        <x:f>P192/L192</x:f>
        <x:v>1</x:v>
      </x:c>
      <x:c r="S192" s="18" t="str">
        <x:v>iteration_limit</x:v>
      </x:c>
      <x:c r="T192" s="22" t="b">
        <x:v>0</x:v>
      </x:c>
      <x:c r="U192" s="19" t="n">
        <x:v>0</x:v>
      </x:c>
      <x:c r="V192" s="19" t="n">
        <x:v>0</x:v>
      </x:c>
      <x:c r="W192" s="19" t="n">
        <x:v>0</x:v>
      </x:c>
      <x:c r="X192" s="22" t="b">
        <x:v>0</x:v>
      </x:c>
      <x:c r="Y192" s="20" t="n">
        <x:v>0</x:v>
      </x:c>
      <x:c r="Z192" s="20" t="n">
        <x:v>0</x:v>
      </x:c>
      <x:c r="AA192" s="20" t="n">
        <x:v>0</x:v>
      </x:c>
      <x:c r="AB192" s="20" t="n">
        <x:v>0.273651</x:v>
      </x:c>
      <x:c r="AC192" s="20" t="n">
        <x:v>2</x:v>
      </x:c>
      <x:c r="AD192" s="20" t="n">
        <x:v>36.590343</x:v>
      </x:c>
      <x:c r="AE192" s="20" t="n">
        <x:v>213.443906</x:v>
      </x:c>
      <x:c r="AF192" s="18" t="str">
        <x:v>{"random_removal": 0.011529215046068483, "related_removal": 0.011529215046068483, "worst_removal": 0.011529215046068483}</x:v>
      </x:c>
      <x:c r="AG192" s="18" t="str">
        <x:v>{"greedy_insertion": 0.011529215046068483, "regret_2_insertion": 0.011529215046068483}</x:v>
      </x:c>
      <x:c r="AH192" s="18" t="str">
        <x:v>[["D0", "C77", "C72", "S15", "S13", "C37", "C17", "C18", "D0"]]</x:v>
      </x:c>
    </x:row>
    <x:row r="193">
      <x:c r="A193" s="18" t="str">
        <x:v>results/week6/ablation_no_sa/alns_evrptw_summary.csv</x:v>
      </x:c>
      <x:c r="B193" s="18" t="str">
        <x:v>No_SA</x:v>
      </x:c>
      <x:c r="C193" s="18" t="str">
        <x:v>ALNS_EVRPTW_FULL_RECHARGE</x:v>
      </x:c>
      <x:c r="D193" s="18" t="str">
        <x:v>r202C5</x:v>
      </x:c>
      <x:c r="E193" s="19" t="n">
        <x:v>66</x:v>
      </x:c>
      <x:c r="F193" s="18" t="str">
        <x:v>R</x:v>
      </x:c>
      <x:c r="G193" s="19" t="n">
        <x:v>5</x:v>
      </x:c>
      <x:c r="H193" s="18" t="n">
        <x:v>1</x:v>
      </x:c>
      <x:c r="I193" s="19" t="n">
        <x:v>1</x:v>
      </x:c>
      <x:c r="J193" s="20" t="n">
        <x:v>128.777139</x:v>
      </x:c>
      <x:c r="K193" s="20" t="n">
        <x:v>2.808607</x:v>
      </x:c>
      <x:c r="L193" s="19" t="n">
        <x:v>1000</x:v>
      </x:c>
      <x:c r="M193" s="19" t="n">
        <x:v>0</x:v>
      </x:c>
      <x:c r="N193" s="19" t="n">
        <x:v>1000</x:v>
      </x:c>
      <x:c r="O193" s="19" t="n">
        <x:v>0</x:v>
      </x:c>
      <x:c r="P193" s="19" t="n">
        <x:v>1000</x:v>
      </x:c>
      <x:c r="Q193" s="19" t="n">
        <x:v>0</x:v>
      </x:c>
      <x:c r="R193" s="21" t="n">
        <x:f>P193/L193</x:f>
        <x:v>1</x:v>
      </x:c>
      <x:c r="S193" s="18" t="str">
        <x:v>iteration_limit</x:v>
      </x:c>
      <x:c r="T193" s="22" t="b">
        <x:v>0</x:v>
      </x:c>
      <x:c r="U193" s="19" t="n">
        <x:v>0</x:v>
      </x:c>
      <x:c r="V193" s="19" t="n">
        <x:v>0</x:v>
      </x:c>
      <x:c r="W193" s="19" t="n">
        <x:v>0</x:v>
      </x:c>
      <x:c r="X193" s="22" t="b">
        <x:v>0</x:v>
      </x:c>
      <x:c r="Y193" s="20" t="n">
        <x:v>0</x:v>
      </x:c>
      <x:c r="Z193" s="20" t="n">
        <x:v>0</x:v>
      </x:c>
      <x:c r="AA193" s="20" t="n">
        <x:v>0</x:v>
      </x:c>
      <x:c r="AB193" s="20" t="n">
        <x:v>0.273651</x:v>
      </x:c>
      <x:c r="AC193" s="20" t="n">
        <x:v>2</x:v>
      </x:c>
      <x:c r="AD193" s="20" t="n">
        <x:v>36.590343</x:v>
      </x:c>
      <x:c r="AE193" s="20" t="n">
        <x:v>213.443906</x:v>
      </x:c>
      <x:c r="AF193" s="18" t="str">
        <x:v>{"random_removal": 0.011529215046068483, "related_removal": 0.011529215046068483, "worst_removal": 0.011529215046068483}</x:v>
      </x:c>
      <x:c r="AG193" s="18" t="str">
        <x:v>{"greedy_insertion": 0.011529215046068483, "regret_2_insertion": 0.011529215046068483}</x:v>
      </x:c>
      <x:c r="AH193" s="18" t="str">
        <x:v>[["D0", "C77", "C72", "S15", "S13", "C37", "C17", "C18", "D0"]]</x:v>
      </x:c>
    </x:row>
    <x:row r="194">
      <x:c r="A194" s="18" t="str">
        <x:v>results/week6/ablation_no_sa/alns_evrptw_summary.csv</x:v>
      </x:c>
      <x:c r="B194" s="18" t="str">
        <x:v>No_SA</x:v>
      </x:c>
      <x:c r="C194" s="18" t="str">
        <x:v>ALNS_EVRPTW_FULL_RECHARGE</x:v>
      </x:c>
      <x:c r="D194" s="18" t="str">
        <x:v>r201C10</x:v>
      </x:c>
      <x:c r="E194" s="19" t="n">
        <x:v>64</x:v>
      </x:c>
      <x:c r="F194" s="18" t="str">
        <x:v>R</x:v>
      </x:c>
      <x:c r="G194" s="19" t="n">
        <x:v>10</x:v>
      </x:c>
      <x:c r="H194" s="18" t="n">
        <x:v>1</x:v>
      </x:c>
      <x:c r="I194" s="19" t="n">
        <x:v>2</x:v>
      </x:c>
      <x:c r="J194" s="20" t="n">
        <x:v>228.355271</x:v>
      </x:c>
      <x:c r="K194" s="20" t="n">
        <x:v>14.87402</x:v>
      </x:c>
      <x:c r="L194" s="19" t="n">
        <x:v>1000</x:v>
      </x:c>
      <x:c r="M194" s="19" t="n">
        <x:v>405</x:v>
      </x:c>
      <x:c r="N194" s="19" t="n">
        <x:v>995</x:v>
      </x:c>
      <x:c r="O194" s="19" t="n">
        <x:v>4</x:v>
      </x:c>
      <x:c r="P194" s="19" t="n">
        <x:v>991</x:v>
      </x:c>
      <x:c r="Q194" s="19" t="n">
        <x:v>0</x:v>
      </x:c>
      <x:c r="R194" s="21" t="n">
        <x:f>P194/L194</x:f>
        <x:v>0.991</x:v>
      </x:c>
      <x:c r="S194" s="18" t="str">
        <x:v>iteration_limit</x:v>
      </x:c>
      <x:c r="T194" s="22" t="b">
        <x:v>0</x:v>
      </x:c>
      <x:c r="U194" s="19" t="n">
        <x:v>0</x:v>
      </x:c>
      <x:c r="V194" s="19" t="n">
        <x:v>0</x:v>
      </x:c>
      <x:c r="W194" s="19" t="n">
        <x:v>0</x:v>
      </x:c>
      <x:c r="X194" s="22" t="b">
        <x:v>0</x:v>
      </x:c>
      <x:c r="Y194" s="20" t="n">
        <x:v>0</x:v>
      </x:c>
      <x:c r="Z194" s="20" t="n">
        <x:v>0</x:v>
      </x:c>
      <x:c r="AA194" s="20" t="n">
        <x:v>0</x:v>
      </x:c>
      <x:c r="AB194" s="20" t="n">
        <x:v>4.088911</x:v>
      </x:c>
      <x:c r="AC194" s="20" t="n">
        <x:v>3</x:v>
      </x:c>
      <x:c r="AD194" s="20" t="n">
        <x:v>72.475779</x:v>
      </x:c>
      <x:c r="AE194" s="20" t="n">
        <x:v>780.520216</x:v>
      </x:c>
      <x:c r="AF194" s="18" t="str">
        <x:v>{"random_removal": 0.016897969652830486, "related_removal": 0.013330654897016687, "worst_removal": 0.011529215046068483}</x:v>
      </x:c>
      <x:c r="AG194" s="18" t="str">
        <x:v>{"greedy_insertion": 0.01670512109726183, "regret_2_insertion": 0.012009599006321335}</x:v>
      </x:c>
      <x:c r="AH194" s="18" t="str">
        <x:v>[["D0", "C72", "C100", "S13", "C84", "C18", "C94", "D0"], ["D0", "C77", "C28", "S0", "C50", "C32", "S5", "C31", "D0"]]</x:v>
      </x:c>
    </x:row>
    <x:row r="195">
      <x:c r="A195" s="18" t="str">
        <x:v>results/week6/ablation_no_sa/alns_evrptw_summary.csv</x:v>
      </x:c>
      <x:c r="B195" s="18" t="str">
        <x:v>No_SA</x:v>
      </x:c>
      <x:c r="C195" s="18" t="str">
        <x:v>ALNS_EVRPTW_FULL_RECHARGE</x:v>
      </x:c>
      <x:c r="D195" s="18" t="str">
        <x:v>r201C10</x:v>
      </x:c>
      <x:c r="E195" s="19" t="n">
        <x:v>65</x:v>
      </x:c>
      <x:c r="F195" s="18" t="str">
        <x:v>R</x:v>
      </x:c>
      <x:c r="G195" s="19" t="n">
        <x:v>10</x:v>
      </x:c>
      <x:c r="H195" s="18" t="n">
        <x:v>1</x:v>
      </x:c>
      <x:c r="I195" s="19" t="n">
        <x:v>1</x:v>
      </x:c>
      <x:c r="J195" s="20" t="n">
        <x:v>241.505881</x:v>
      </x:c>
      <x:c r="K195" s="20" t="n">
        <x:v>24.822221</x:v>
      </x:c>
      <x:c r="L195" s="19" t="n">
        <x:v>1000</x:v>
      </x:c>
      <x:c r="M195" s="19" t="n">
        <x:v>1</x:v>
      </x:c>
      <x:c r="N195" s="19" t="n">
        <x:v>963</x:v>
      </x:c>
      <x:c r="O195" s="19" t="n">
        <x:v>1</x:v>
      </x:c>
      <x:c r="P195" s="19" t="n">
        <x:v>962</x:v>
      </x:c>
      <x:c r="Q195" s="19" t="n">
        <x:v>0</x:v>
      </x:c>
      <x:c r="R195" s="21" t="n">
        <x:f>P195/L195</x:f>
        <x:v>0.962</x:v>
      </x:c>
      <x:c r="S195" s="18" t="str">
        <x:v>iteration_limit</x:v>
      </x:c>
      <x:c r="T195" s="22" t="b">
        <x:v>0</x:v>
      </x:c>
      <x:c r="U195" s="19" t="n">
        <x:v>0</x:v>
      </x:c>
      <x:c r="V195" s="19" t="n">
        <x:v>0</x:v>
      </x:c>
      <x:c r="W195" s="19" t="n">
        <x:v>0</x:v>
      </x:c>
      <x:c r="X195" s="22" t="b">
        <x:v>0</x:v>
      </x:c>
      <x:c r="Y195" s="20" t="n">
        <x:v>0</x:v>
      </x:c>
      <x:c r="Z195" s="20" t="n">
        <x:v>0</x:v>
      </x:c>
      <x:c r="AA195" s="20" t="n">
        <x:v>0</x:v>
      </x:c>
      <x:c r="AB195" s="20" t="n">
        <x:v>0.230403</x:v>
      </x:c>
      <x:c r="AC195" s="20" t="n">
        <x:v>5</x:v>
      </x:c>
      <x:c r="AD195" s="20" t="n">
        <x:v>104.664649</x:v>
      </x:c>
      <x:c r="AE195" s="20" t="n">
        <x:v>254.516503</x:v>
      </x:c>
      <x:c r="AF195" s="18" t="str">
        <x:v>{"random_removal": 0.011529215046068483, "related_removal": 0.011529215046068483, "worst_removal": 0.012249790986447762}</x:v>
      </x:c>
      <x:c r="AG195" s="18" t="str">
        <x:v>{"greedy_insertion": 0.012129694996384555, "regret_2_insertion": 0.011529215046068483}</x:v>
      </x:c>
      <x:c r="AH195" s="18" t="str">
        <x:v>[["D0", "C100", "S15", "C72", "C77", "C28", "S0", "C18", "C84", "S13", "C94", "S0", "C50", "C32", "S5", "C31", "D0"]]</x:v>
      </x:c>
    </x:row>
    <x:row r="196">
      <x:c r="A196" s="18" t="str">
        <x:v>results/week6/ablation_no_sa/alns_evrptw_summary.csv</x:v>
      </x:c>
      <x:c r="B196" s="18" t="str">
        <x:v>No_SA</x:v>
      </x:c>
      <x:c r="C196" s="18" t="str">
        <x:v>ALNS_EVRPTW_FULL_RECHARGE</x:v>
      </x:c>
      <x:c r="D196" s="18" t="str">
        <x:v>r201C10</x:v>
      </x:c>
      <x:c r="E196" s="19" t="n">
        <x:v>66</x:v>
      </x:c>
      <x:c r="F196" s="18" t="str">
        <x:v>R</x:v>
      </x:c>
      <x:c r="G196" s="19" t="n">
        <x:v>10</x:v>
      </x:c>
      <x:c r="H196" s="18" t="n">
        <x:v>1</x:v>
      </x:c>
      <x:c r="I196" s="19" t="n">
        <x:v>1</x:v>
      </x:c>
      <x:c r="J196" s="20" t="n">
        <x:v>241.505881</x:v>
      </x:c>
      <x:c r="K196" s="20" t="n">
        <x:v>25.998763</x:v>
      </x:c>
      <x:c r="L196" s="19" t="n">
        <x:v>1000</x:v>
      </x:c>
      <x:c r="M196" s="19" t="n">
        <x:v>1</x:v>
      </x:c>
      <x:c r="N196" s="19" t="n">
        <x:v>960</x:v>
      </x:c>
      <x:c r="O196" s="19" t="n">
        <x:v>1</x:v>
      </x:c>
      <x:c r="P196" s="19" t="n">
        <x:v>959</x:v>
      </x:c>
      <x:c r="Q196" s="19" t="n">
        <x:v>0</x:v>
      </x:c>
      <x:c r="R196" s="21" t="n">
        <x:f>P196/L196</x:f>
        <x:v>0.959</x:v>
      </x:c>
      <x:c r="S196" s="18" t="str">
        <x:v>iteration_limit</x:v>
      </x:c>
      <x:c r="T196" s="22" t="b">
        <x:v>0</x:v>
      </x:c>
      <x:c r="U196" s="19" t="n">
        <x:v>0</x:v>
      </x:c>
      <x:c r="V196" s="19" t="n">
        <x:v>0</x:v>
      </x:c>
      <x:c r="W196" s="19" t="n">
        <x:v>0</x:v>
      </x:c>
      <x:c r="X196" s="22" t="b">
        <x:v>0</x:v>
      </x:c>
      <x:c r="Y196" s="20" t="n">
        <x:v>0</x:v>
      </x:c>
      <x:c r="Z196" s="20" t="n">
        <x:v>0</x:v>
      </x:c>
      <x:c r="AA196" s="20" t="n">
        <x:v>0</x:v>
      </x:c>
      <x:c r="AB196" s="20" t="n">
        <x:v>0.230403</x:v>
      </x:c>
      <x:c r="AC196" s="20" t="n">
        <x:v>5</x:v>
      </x:c>
      <x:c r="AD196" s="20" t="n">
        <x:v>104.664649</x:v>
      </x:c>
      <x:c r="AE196" s="20" t="n">
        <x:v>254.516503</x:v>
      </x:c>
      <x:c r="AF196" s="18" t="str">
        <x:v>{"random_removal": 0.012376951446514694, "related_removal": 0.011529215046068483, "worst_removal": 0.011529215046068483}</x:v>
      </x:c>
      <x:c r="AG196" s="18" t="str">
        <x:v>{"greedy_insertion": 0.012083504230975617, "regret_2_insertion": 0.011529215046068483}</x:v>
      </x:c>
      <x:c r="AH196" s="18" t="str">
        <x:v>[["D0", "C100", "S15", "C72", "C77", "C28", "S0", "C18", "C84", "S13", "C94", "S0", "C50", "C32", "S5", "C31", "D0"]]</x:v>
      </x:c>
    </x:row>
    <x:row r="197">
      <x:c r="A197" s="18" t="str">
        <x:v>results/week6/ablation_no_sa/alns_evrptw_summary.csv</x:v>
      </x:c>
      <x:c r="B197" s="18" t="str">
        <x:v>No_SA</x:v>
      </x:c>
      <x:c r="C197" s="18" t="str">
        <x:v>ALNS_EVRPTW_FULL_RECHARGE</x:v>
      </x:c>
      <x:c r="D197" s="18" t="str">
        <x:v>r202C15</x:v>
      </x:c>
      <x:c r="E197" s="19" t="n">
        <x:v>64</x:v>
      </x:c>
      <x:c r="F197" s="18" t="str">
        <x:v>R</x:v>
      </x:c>
      <x:c r="G197" s="19" t="n">
        <x:v>15</x:v>
      </x:c>
      <x:c r="H197" s="18" t="n">
        <x:v>1</x:v>
      </x:c>
      <x:c r="I197" s="19" t="n">
        <x:v>2</x:v>
      </x:c>
      <x:c r="J197" s="20" t="n">
        <x:v>394.973877</x:v>
      </x:c>
      <x:c r="K197" s="20" t="n">
        <x:v>252.828816</x:v>
      </x:c>
      <x:c r="L197" s="19" t="n">
        <x:v>1000</x:v>
      </x:c>
      <x:c r="M197" s="19" t="n">
        <x:v>349</x:v>
      </x:c>
      <x:c r="N197" s="19" t="n">
        <x:v>858</x:v>
      </x:c>
      <x:c r="O197" s="19" t="n">
        <x:v>3</x:v>
      </x:c>
      <x:c r="P197" s="19" t="n">
        <x:v>855</x:v>
      </x:c>
      <x:c r="Q197" s="19" t="n">
        <x:v>0</x:v>
      </x:c>
      <x:c r="R197" s="21" t="n">
        <x:f>P197/L197</x:f>
        <x:v>0.855</x:v>
      </x:c>
      <x:c r="S197" s="18" t="str">
        <x:v>iteration_limit</x:v>
      </x:c>
      <x:c r="T197" s="22" t="b">
        <x:v>0</x:v>
      </x:c>
      <x:c r="U197" s="19" t="n">
        <x:v>0</x:v>
      </x:c>
      <x:c r="V197" s="19" t="n">
        <x:v>0</x:v>
      </x:c>
      <x:c r="W197" s="19" t="n">
        <x:v>0</x:v>
      </x:c>
      <x:c r="X197" s="22" t="b">
        <x:v>0</x:v>
      </x:c>
      <x:c r="Y197" s="20" t="n">
        <x:v>0</x:v>
      </x:c>
      <x:c r="Z197" s="20" t="n">
        <x:v>0</x:v>
      </x:c>
      <x:c r="AA197" s="20" t="n">
        <x:v>0</x:v>
      </x:c>
      <x:c r="AB197" s="20" t="n">
        <x:v>2.718822</x:v>
      </x:c>
      <x:c r="AC197" s="20" t="n">
        <x:v>6</x:v>
      </x:c>
      <x:c r="AD197" s="20" t="n">
        <x:v>137.379858</x:v>
      </x:c>
      <x:c r="AE197" s="20" t="n">
        <x:v>890.273908</x:v>
      </x:c>
      <x:c r="AF197" s="18" t="str">
        <x:v>{"random_removal": 0.01494885191568857, "related_removal": 0.013405714890806192, "worst_removal": 0.011529215046068483}</x:v>
      </x:c>
      <x:c r="AG197" s="18" t="str">
        <x:v>{"greedy_insertion": 0.013819864270601818, "regret_2_insertion": 0.013054107598943399}</x:v>
      </x:c>
      <x:c r="AH197" s="18" t="str">
        <x:v>[["D0", "S13", "C44", "C38", "C42", "S13", "C46", "C48", "S9", "C61", "C87", "S13", "C85", "C11", "S5", "C70", "C79", "D0"], ["D0", "C72", "C23", "S19", "C25", "C41", "D0"]]</x:v>
      </x:c>
    </x:row>
    <x:row r="198">
      <x:c r="A198" s="18" t="str">
        <x:v>results/week6/ablation_no_sa/alns_evrptw_summary.csv</x:v>
      </x:c>
      <x:c r="B198" s="18" t="str">
        <x:v>No_SA</x:v>
      </x:c>
      <x:c r="C198" s="18" t="str">
        <x:v>ALNS_EVRPTW_FULL_RECHARGE</x:v>
      </x:c>
      <x:c r="D198" s="18" t="str">
        <x:v>r202C15</x:v>
      </x:c>
      <x:c r="E198" s="19" t="n">
        <x:v>65</x:v>
      </x:c>
      <x:c r="F198" s="18" t="str">
        <x:v>R</x:v>
      </x:c>
      <x:c r="G198" s="19" t="n">
        <x:v>15</x:v>
      </x:c>
      <x:c r="H198" s="18" t="n">
        <x:v>1</x:v>
      </x:c>
      <x:c r="I198" s="19" t="n">
        <x:v>2</x:v>
      </x:c>
      <x:c r="J198" s="20" t="n">
        <x:v>394.973877</x:v>
      </x:c>
      <x:c r="K198" s="20" t="n">
        <x:v>277.982993</x:v>
      </x:c>
      <x:c r="L198" s="19" t="n">
        <x:v>1000</x:v>
      </x:c>
      <x:c r="M198" s="19" t="n">
        <x:v>857</x:v>
      </x:c>
      <x:c r="N198" s="19" t="n">
        <x:v>855</x:v>
      </x:c>
      <x:c r="O198" s="19" t="n">
        <x:v>3</x:v>
      </x:c>
      <x:c r="P198" s="19" t="n">
        <x:v>852</x:v>
      </x:c>
      <x:c r="Q198" s="19" t="n">
        <x:v>0</x:v>
      </x:c>
      <x:c r="R198" s="21" t="n">
        <x:f>P198/L198</x:f>
        <x:v>0.852</x:v>
      </x:c>
      <x:c r="S198" s="18" t="str">
        <x:v>iteration_limit</x:v>
      </x:c>
      <x:c r="T198" s="22" t="b">
        <x:v>0</x:v>
      </x:c>
      <x:c r="U198" s="19" t="n">
        <x:v>0</x:v>
      </x:c>
      <x:c r="V198" s="19" t="n">
        <x:v>0</x:v>
      </x:c>
      <x:c r="W198" s="19" t="n">
        <x:v>0</x:v>
      </x:c>
      <x:c r="X198" s="22" t="b">
        <x:v>0</x:v>
      </x:c>
      <x:c r="Y198" s="20" t="n">
        <x:v>0</x:v>
      </x:c>
      <x:c r="Z198" s="20" t="n">
        <x:v>0</x:v>
      </x:c>
      <x:c r="AA198" s="20" t="n">
        <x:v>0</x:v>
      </x:c>
      <x:c r="AB198" s="20" t="n">
        <x:v>2.718822</x:v>
      </x:c>
      <x:c r="AC198" s="20" t="n">
        <x:v>6</x:v>
      </x:c>
      <x:c r="AD198" s="20" t="n">
        <x:v>137.379858</x:v>
      </x:c>
      <x:c r="AE198" s="20" t="n">
        <x:v>890.273908</x:v>
      </x:c>
      <x:c r="AF198" s="18" t="str">
        <x:v>{"random_removal": 0.05152921504606848, "related_removal": 0.013450750887079893, "worst_removal": 0.011529215046068483}</x:v>
      </x:c>
      <x:c r="AG198" s="18" t="str">
        <x:v>{"greedy_insertion": 0.03659495962419015, "regret_2_insertion": 0.01232985497982324}</x:v>
      </x:c>
      <x:c r="AH198" s="18" t="str">
        <x:v>[["D0", "S13", "C44", "C38", "C42", "S13", "C46", "C48", "S9", "C61", "C87", "S13", "C85", "C11", "S5", "C70", "C79", "D0"], ["D0", "C72", "C23", "S19", "C25", "C41", "D0"]]</x:v>
      </x:c>
    </x:row>
    <x:row r="199">
      <x:c r="A199" s="18" t="str">
        <x:v>results/week6/ablation_no_sa/alns_evrptw_summary.csv</x:v>
      </x:c>
      <x:c r="B199" s="18" t="str">
        <x:v>No_SA</x:v>
      </x:c>
      <x:c r="C199" s="18" t="str">
        <x:v>ALNS_EVRPTW_FULL_RECHARGE</x:v>
      </x:c>
      <x:c r="D199" s="18" t="str">
        <x:v>r202C15</x:v>
      </x:c>
      <x:c r="E199" s="19" t="n">
        <x:v>66</x:v>
      </x:c>
      <x:c r="F199" s="18" t="str">
        <x:v>R</x:v>
      </x:c>
      <x:c r="G199" s="19" t="n">
        <x:v>15</x:v>
      </x:c>
      <x:c r="H199" s="18" t="n">
        <x:v>1</x:v>
      </x:c>
      <x:c r="I199" s="19" t="n">
        <x:v>2</x:v>
      </x:c>
      <x:c r="J199" s="20" t="n">
        <x:v>406.804399</x:v>
      </x:c>
      <x:c r="K199" s="20" t="n">
        <x:v>294.484132</x:v>
      </x:c>
      <x:c r="L199" s="19" t="n">
        <x:v>1000</x:v>
      </x:c>
      <x:c r="M199" s="19" t="n">
        <x:v>125</x:v>
      </x:c>
      <x:c r="N199" s="19" t="n">
        <x:v>846</x:v>
      </x:c>
      <x:c r="O199" s="19" t="n">
        <x:v>2</x:v>
      </x:c>
      <x:c r="P199" s="19" t="n">
        <x:v>844</x:v>
      </x:c>
      <x:c r="Q199" s="19" t="n">
        <x:v>0</x:v>
      </x:c>
      <x:c r="R199" s="21" t="n">
        <x:f>P199/L199</x:f>
        <x:v>0.844</x:v>
      </x:c>
      <x:c r="S199" s="18" t="str">
        <x:v>iteration_limit</x:v>
      </x:c>
      <x:c r="T199" s="22" t="b">
        <x:v>0</x:v>
      </x:c>
      <x:c r="U199" s="19" t="n">
        <x:v>0</x:v>
      </x:c>
      <x:c r="V199" s="19" t="n">
        <x:v>0</x:v>
      </x:c>
      <x:c r="W199" s="19" t="n">
        <x:v>0</x:v>
      </x:c>
      <x:c r="X199" s="22" t="b">
        <x:v>0</x:v>
      </x:c>
      <x:c r="Y199" s="20" t="n">
        <x:v>0</x:v>
      </x:c>
      <x:c r="Z199" s="20" t="n">
        <x:v>0</x:v>
      </x:c>
      <x:c r="AA199" s="20" t="n">
        <x:v>0</x:v>
      </x:c>
      <x:c r="AB199" s="20" t="n">
        <x:v>1.762948</x:v>
      </x:c>
      <x:c r="AC199" s="20" t="n">
        <x:v>7</x:v>
      </x:c>
      <x:c r="AD199" s="20" t="n">
        <x:v>143.176814</x:v>
      </x:c>
      <x:c r="AE199" s="20" t="n">
        <x:v>942.968532</x:v>
      </x:c>
      <x:c r="AF199" s="18" t="str">
        <x:v>{"random_removal": 0.01232985497982324, "related_removal": 0.012936589929621765, "worst_removal": 0.011529215046068483}</x:v>
      </x:c>
      <x:c r="AG199" s="18" t="str">
        <x:v>{"greedy_insertion": 0.012184284082776914, "regret_2_insertion": 0.012508258443322937}</x:v>
      </x:c>
      <x:c r="AH199" s="18" t="str">
        <x:v>[["D0", "S13", "C44", "S9", "C46", "C48", "S9", "C61", "S13", "C87", "C42", "C38", "S13", "C85", "C11", "S5", "C70", "C79", "D0"], ["D0", "C72", "C23", "S19", "C25", "C41", "D0"]]</x:v>
      </x:c>
    </x:row>
    <x:row r="200">
      <x:c r="A200" s="18" t="str">
        <x:v>results/week6/ablation_no_sa/alns_evrptw_summary.csv</x:v>
      </x:c>
      <x:c r="B200" s="18" t="str">
        <x:v>No_SA</x:v>
      </x:c>
      <x:c r="C200" s="18" t="str">
        <x:v>ALNS_EVRPTW_FULL_RECHARGE</x:v>
      </x:c>
      <x:c r="D200" s="18" t="str">
        <x:v>rc105C5</x:v>
      </x:c>
      <x:c r="E200" s="19" t="n">
        <x:v>64</x:v>
      </x:c>
      <x:c r="F200" s="18" t="str">
        <x:v>RC</x:v>
      </x:c>
      <x:c r="G200" s="19" t="n">
        <x:v>5</x:v>
      </x:c>
      <x:c r="H200" s="18" t="n">
        <x:v>1</x:v>
      </x:c>
      <x:c r="I200" s="19" t="n">
        <x:v>3</x:v>
      </x:c>
      <x:c r="J200" s="20" t="n">
        <x:v>238.052232</x:v>
      </x:c>
      <x:c r="K200" s="20" t="n">
        <x:v>1.191823</x:v>
      </x:c>
      <x:c r="L200" s="19" t="n">
        <x:v>1000</x:v>
      </x:c>
      <x:c r="M200" s="19" t="n">
        <x:v>0</x:v>
      </x:c>
      <x:c r="N200" s="19" t="n">
        <x:v>1000</x:v>
      </x:c>
      <x:c r="O200" s="19" t="n">
        <x:v>0</x:v>
      </x:c>
      <x:c r="P200" s="19" t="n">
        <x:v>1000</x:v>
      </x:c>
      <x:c r="Q200" s="19" t="n">
        <x:v>0</x:v>
      </x:c>
      <x:c r="R200" s="21" t="n">
        <x:f>P200/L200</x:f>
        <x:v>1</x:v>
      </x:c>
      <x:c r="S200" s="18" t="str">
        <x:v>iteration_limit</x:v>
      </x:c>
      <x:c r="T200" s="22" t="b">
        <x:v>0</x:v>
      </x:c>
      <x:c r="U200" s="19" t="n">
        <x:v>0</x:v>
      </x:c>
      <x:c r="V200" s="19" t="n">
        <x:v>0</x:v>
      </x:c>
      <x:c r="W200" s="19" t="n">
        <x:v>0</x:v>
      </x:c>
      <x:c r="X200" s="22" t="b">
        <x:v>0</x:v>
      </x:c>
      <x:c r="Y200" s="20" t="n">
        <x:v>0</x:v>
      </x:c>
      <x:c r="Z200" s="20" t="n">
        <x:v>0</x:v>
      </x:c>
      <x:c r="AA200" s="20" t="n">
        <x:v>0</x:v>
      </x:c>
      <x:c r="AB200" s="20" t="n">
        <x:v>7.75</x:v>
      </x:c>
      <x:c r="AC200" s="20" t="n">
        <x:v>1</x:v>
      </x:c>
      <x:c r="AD200" s="20" t="n">
        <x:v>19.098411</x:v>
      </x:c>
      <x:c r="AE200" s="20" t="n">
        <x:v>110.096371</x:v>
      </x:c>
      <x:c r="AF200" s="18" t="str">
        <x:v>{"random_removal": 0.011529215046068483, "related_removal": 0.011529215046068483, "worst_removal": 0.011529215046068483}</x:v>
      </x:c>
      <x:c r="AG200" s="18" t="str">
        <x:v>{"greedy_insertion": 0.011529215046068483, "regret_2_insertion": 0.011529215046068483}</x:v>
      </x:c>
      <x:c r="AH200" s="18" t="str">
        <x:v>[["D0", "C55", "S3", "C36", "D0"], ["D0", "C11", "C82", "D0"], ["D0", "C22", "D0"]]</x:v>
      </x:c>
    </x:row>
    <x:row r="201">
      <x:c r="A201" s="18" t="str">
        <x:v>results/week6/ablation_no_sa/alns_evrptw_summary.csv</x:v>
      </x:c>
      <x:c r="B201" s="18" t="str">
        <x:v>No_SA</x:v>
      </x:c>
      <x:c r="C201" s="18" t="str">
        <x:v>ALNS_EVRPTW_FULL_RECHARGE</x:v>
      </x:c>
      <x:c r="D201" s="18" t="str">
        <x:v>rc105C5</x:v>
      </x:c>
      <x:c r="E201" s="19" t="n">
        <x:v>65</x:v>
      </x:c>
      <x:c r="F201" s="18" t="str">
        <x:v>RC</x:v>
      </x:c>
      <x:c r="G201" s="19" t="n">
        <x:v>5</x:v>
      </x:c>
      <x:c r="H201" s="18" t="n">
        <x:v>1</x:v>
      </x:c>
      <x:c r="I201" s="19" t="n">
        <x:v>3</x:v>
      </x:c>
      <x:c r="J201" s="20" t="n">
        <x:v>238.052232</x:v>
      </x:c>
      <x:c r="K201" s="20" t="n">
        <x:v>1.152268</x:v>
      </x:c>
      <x:c r="L201" s="19" t="n">
        <x:v>1000</x:v>
      </x:c>
      <x:c r="M201" s="19" t="n">
        <x:v>0</x:v>
      </x:c>
      <x:c r="N201" s="19" t="n">
        <x:v>1000</x:v>
      </x:c>
      <x:c r="O201" s="19" t="n">
        <x:v>0</x:v>
      </x:c>
      <x:c r="P201" s="19" t="n">
        <x:v>1000</x:v>
      </x:c>
      <x:c r="Q201" s="19" t="n">
        <x:v>0</x:v>
      </x:c>
      <x:c r="R201" s="21" t="n">
        <x:f>P201/L201</x:f>
        <x:v>1</x:v>
      </x:c>
      <x:c r="S201" s="18" t="str">
        <x:v>iteration_limit</x:v>
      </x:c>
      <x:c r="T201" s="22" t="b">
        <x:v>0</x:v>
      </x:c>
      <x:c r="U201" s="19" t="n">
        <x:v>0</x:v>
      </x:c>
      <x:c r="V201" s="19" t="n">
        <x:v>0</x:v>
      </x:c>
      <x:c r="W201" s="19" t="n">
        <x:v>0</x:v>
      </x:c>
      <x:c r="X201" s="22" t="b">
        <x:v>0</x:v>
      </x:c>
      <x:c r="Y201" s="20" t="n">
        <x:v>0</x:v>
      </x:c>
      <x:c r="Z201" s="20" t="n">
        <x:v>0</x:v>
      </x:c>
      <x:c r="AA201" s="20" t="n">
        <x:v>0</x:v>
      </x:c>
      <x:c r="AB201" s="20" t="n">
        <x:v>7.75</x:v>
      </x:c>
      <x:c r="AC201" s="20" t="n">
        <x:v>1</x:v>
      </x:c>
      <x:c r="AD201" s="20" t="n">
        <x:v>19.098411</x:v>
      </x:c>
      <x:c r="AE201" s="20" t="n">
        <x:v>110.096371</x:v>
      </x:c>
      <x:c r="AF201" s="18" t="str">
        <x:v>{"random_removal": 0.011529215046068483, "related_removal": 0.011529215046068483, "worst_removal": 0.011529215046068483}</x:v>
      </x:c>
      <x:c r="AG201" s="18" t="str">
        <x:v>{"greedy_insertion": 0.011529215046068483, "regret_2_insertion": 0.011529215046068483}</x:v>
      </x:c>
      <x:c r="AH201" s="18" t="str">
        <x:v>[["D0", "C55", "S3", "C36", "D0"], ["D0", "C11", "C82", "D0"], ["D0", "C22", "D0"]]</x:v>
      </x:c>
    </x:row>
    <x:row r="202">
      <x:c r="A202" s="18" t="str">
        <x:v>results/week6/ablation_no_sa/alns_evrptw_summary.csv</x:v>
      </x:c>
      <x:c r="B202" s="18" t="str">
        <x:v>No_SA</x:v>
      </x:c>
      <x:c r="C202" s="18" t="str">
        <x:v>ALNS_EVRPTW_FULL_RECHARGE</x:v>
      </x:c>
      <x:c r="D202" s="18" t="str">
        <x:v>rc105C5</x:v>
      </x:c>
      <x:c r="E202" s="19" t="n">
        <x:v>66</x:v>
      </x:c>
      <x:c r="F202" s="18" t="str">
        <x:v>RC</x:v>
      </x:c>
      <x:c r="G202" s="19" t="n">
        <x:v>5</x:v>
      </x:c>
      <x:c r="H202" s="18" t="n">
        <x:v>1</x:v>
      </x:c>
      <x:c r="I202" s="19" t="n">
        <x:v>3</x:v>
      </x:c>
      <x:c r="J202" s="20" t="n">
        <x:v>238.052232</x:v>
      </x:c>
      <x:c r="K202" s="20" t="n">
        <x:v>1.188469</x:v>
      </x:c>
      <x:c r="L202" s="19" t="n">
        <x:v>1000</x:v>
      </x:c>
      <x:c r="M202" s="19" t="n">
        <x:v>0</x:v>
      </x:c>
      <x:c r="N202" s="19" t="n">
        <x:v>1000</x:v>
      </x:c>
      <x:c r="O202" s="19" t="n">
        <x:v>0</x:v>
      </x:c>
      <x:c r="P202" s="19" t="n">
        <x:v>1000</x:v>
      </x:c>
      <x:c r="Q202" s="19" t="n">
        <x:v>0</x:v>
      </x:c>
      <x:c r="R202" s="21" t="n">
        <x:f>P202/L202</x:f>
        <x:v>1</x:v>
      </x:c>
      <x:c r="S202" s="18" t="str">
        <x:v>iteration_limit</x:v>
      </x:c>
      <x:c r="T202" s="22" t="b">
        <x:v>0</x:v>
      </x:c>
      <x:c r="U202" s="19" t="n">
        <x:v>0</x:v>
      </x:c>
      <x:c r="V202" s="19" t="n">
        <x:v>0</x:v>
      </x:c>
      <x:c r="W202" s="19" t="n">
        <x:v>0</x:v>
      </x:c>
      <x:c r="X202" s="22" t="b">
        <x:v>0</x:v>
      </x:c>
      <x:c r="Y202" s="20" t="n">
        <x:v>0</x:v>
      </x:c>
      <x:c r="Z202" s="20" t="n">
        <x:v>0</x:v>
      </x:c>
      <x:c r="AA202" s="20" t="n">
        <x:v>0</x:v>
      </x:c>
      <x:c r="AB202" s="20" t="n">
        <x:v>7.75</x:v>
      </x:c>
      <x:c r="AC202" s="20" t="n">
        <x:v>1</x:v>
      </x:c>
      <x:c r="AD202" s="20" t="n">
        <x:v>19.098411</x:v>
      </x:c>
      <x:c r="AE202" s="20" t="n">
        <x:v>110.096371</x:v>
      </x:c>
      <x:c r="AF202" s="18" t="str">
        <x:v>{"random_removal": 0.011529215046068483, "related_removal": 0.011529215046068483, "worst_removal": 0.011529215046068483}</x:v>
      </x:c>
      <x:c r="AG202" s="18" t="str">
        <x:v>{"greedy_insertion": 0.011529215046068483, "regret_2_insertion": 0.011529215046068483}</x:v>
      </x:c>
      <x:c r="AH202" s="18" t="str">
        <x:v>[["D0", "C55", "S3", "C36", "D0"], ["D0", "C11", "C82", "D0"], ["D0", "C22", "D0"]]</x:v>
      </x:c>
    </x:row>
    <x:row r="203">
      <x:c r="A203" s="18" t="str">
        <x:v>results/week6/ablation_no_sa/alns_evrptw_summary.csv</x:v>
      </x:c>
      <x:c r="B203" s="18" t="str">
        <x:v>No_SA</x:v>
      </x:c>
      <x:c r="C203" s="18" t="str">
        <x:v>ALNS_EVRPTW_FULL_RECHARGE</x:v>
      </x:c>
      <x:c r="D203" s="18" t="str">
        <x:v>rc102C10</x:v>
      </x:c>
      <x:c r="E203" s="19" t="n">
        <x:v>64</x:v>
      </x:c>
      <x:c r="F203" s="18" t="str">
        <x:v>RC</x:v>
      </x:c>
      <x:c r="G203" s="19" t="n">
        <x:v>10</x:v>
      </x:c>
      <x:c r="H203" s="18" t="n">
        <x:v>1</x:v>
      </x:c>
      <x:c r="I203" s="19" t="n">
        <x:v>4</x:v>
      </x:c>
      <x:c r="J203" s="20" t="n">
        <x:v>423.510182</x:v>
      </x:c>
      <x:c r="K203" s="20" t="n">
        <x:v>9.005111</x:v>
      </x:c>
      <x:c r="L203" s="19" t="n">
        <x:v>1000</x:v>
      </x:c>
      <x:c r="M203" s="19" t="n">
        <x:v>0</x:v>
      </x:c>
      <x:c r="N203" s="19" t="n">
        <x:v>969</x:v>
      </x:c>
      <x:c r="O203" s="19" t="n">
        <x:v>0</x:v>
      </x:c>
      <x:c r="P203" s="19" t="n">
        <x:v>969</x:v>
      </x:c>
      <x:c r="Q203" s="19" t="n">
        <x:v>0</x:v>
      </x:c>
      <x:c r="R203" s="21" t="n">
        <x:f>P203/L203</x:f>
        <x:v>0.969</x:v>
      </x:c>
      <x:c r="S203" s="18" t="str">
        <x:v>iteration_limit</x:v>
      </x:c>
      <x:c r="T203" s="22" t="b">
        <x:v>0</x:v>
      </x:c>
      <x:c r="U203" s="19" t="n">
        <x:v>0</x:v>
      </x:c>
      <x:c r="V203" s="19" t="n">
        <x:v>0</x:v>
      </x:c>
      <x:c r="W203" s="19" t="n">
        <x:v>0</x:v>
      </x:c>
      <x:c r="X203" s="22" t="b">
        <x:v>0</x:v>
      </x:c>
      <x:c r="Y203" s="20" t="n">
        <x:v>0</x:v>
      </x:c>
      <x:c r="Z203" s="20" t="n">
        <x:v>0</x:v>
      </x:c>
      <x:c r="AA203" s="20" t="n">
        <x:v>0</x:v>
      </x:c>
      <x:c r="AB203" s="20" t="n">
        <x:v>0.51776</x:v>
      </x:c>
      <x:c r="AC203" s="20" t="n">
        <x:v>3</x:v>
      </x:c>
      <x:c r="AD203" s="20" t="n">
        <x:v>69.382613</x:v>
      </x:c>
      <x:c r="AE203" s="20" t="n">
        <x:v>86.835319</x:v>
      </x:c>
      <x:c r="AF203" s="18" t="str">
        <x:v>{"random_removal": 0.011529215046068483, "related_removal": 0.011529215046068483, "worst_removal": 0.011529215046068483}</x:v>
      </x:c>
      <x:c r="AG203" s="18" t="str">
        <x:v>{"greedy_insertion": 0.011529215046068483, "regret_2_insertion": 0.011529215046068483}</x:v>
      </x:c>
      <x:c r="AH203" s="18" t="str">
        <x:v>[["D0", "C57", "C49", "S15", "C92", "C54", "D0"], ["D0", "C44", "S1", "C26", "S19", "D0"], ["D0", "C45", "C70", "D0"], ["D0", "C53", "C11", "D0"]]</x:v>
      </x:c>
    </x:row>
    <x:row r="204">
      <x:c r="A204" s="18" t="str">
        <x:v>results/week6/ablation_no_sa/alns_evrptw_summary.csv</x:v>
      </x:c>
      <x:c r="B204" s="18" t="str">
        <x:v>No_SA</x:v>
      </x:c>
      <x:c r="C204" s="18" t="str">
        <x:v>ALNS_EVRPTW_FULL_RECHARGE</x:v>
      </x:c>
      <x:c r="D204" s="18" t="str">
        <x:v>rc102C10</x:v>
      </x:c>
      <x:c r="E204" s="19" t="n">
        <x:v>65</x:v>
      </x:c>
      <x:c r="F204" s="18" t="str">
        <x:v>RC</x:v>
      </x:c>
      <x:c r="G204" s="19" t="n">
        <x:v>10</x:v>
      </x:c>
      <x:c r="H204" s="18" t="n">
        <x:v>1</x:v>
      </x:c>
      <x:c r="I204" s="19" t="n">
        <x:v>4</x:v>
      </x:c>
      <x:c r="J204" s="20" t="n">
        <x:v>423.510182</x:v>
      </x:c>
      <x:c r="K204" s="20" t="n">
        <x:v>9.141859</x:v>
      </x:c>
      <x:c r="L204" s="19" t="n">
        <x:v>1000</x:v>
      </x:c>
      <x:c r="M204" s="19" t="n">
        <x:v>0</x:v>
      </x:c>
      <x:c r="N204" s="19" t="n">
        <x:v>975</x:v>
      </x:c>
      <x:c r="O204" s="19" t="n">
        <x:v>0</x:v>
      </x:c>
      <x:c r="P204" s="19" t="n">
        <x:v>975</x:v>
      </x:c>
      <x:c r="Q204" s="19" t="n">
        <x:v>0</x:v>
      </x:c>
      <x:c r="R204" s="21" t="n">
        <x:f>P204/L204</x:f>
        <x:v>0.975</x:v>
      </x:c>
      <x:c r="S204" s="18" t="str">
        <x:v>iteration_limit</x:v>
      </x:c>
      <x:c r="T204" s="22" t="b">
        <x:v>0</x:v>
      </x:c>
      <x:c r="U204" s="19" t="n">
        <x:v>0</x:v>
      </x:c>
      <x:c r="V204" s="19" t="n">
        <x:v>0</x:v>
      </x:c>
      <x:c r="W204" s="19" t="n">
        <x:v>0</x:v>
      </x:c>
      <x:c r="X204" s="22" t="b">
        <x:v>0</x:v>
      </x:c>
      <x:c r="Y204" s="20" t="n">
        <x:v>0</x:v>
      </x:c>
      <x:c r="Z204" s="20" t="n">
        <x:v>0</x:v>
      </x:c>
      <x:c r="AA204" s="20" t="n">
        <x:v>0</x:v>
      </x:c>
      <x:c r="AB204" s="20" t="n">
        <x:v>0.51776</x:v>
      </x:c>
      <x:c r="AC204" s="20" t="n">
        <x:v>3</x:v>
      </x:c>
      <x:c r="AD204" s="20" t="n">
        <x:v>69.382613</x:v>
      </x:c>
      <x:c r="AE204" s="20" t="n">
        <x:v>86.835319</x:v>
      </x:c>
      <x:c r="AF204" s="18" t="str">
        <x:v>{"random_removal": 0.011529215046068483, "related_removal": 0.011529215046068483, "worst_removal": 0.011529215046068483}</x:v>
      </x:c>
      <x:c r="AG204" s="18" t="str">
        <x:v>{"greedy_insertion": 0.011529215046068483, "regret_2_insertion": 0.011529215046068483}</x:v>
      </x:c>
      <x:c r="AH204" s="18" t="str">
        <x:v>[["D0", "C57", "C49", "S15", "C92", "C54", "D0"], ["D0", "C44", "S1", "C26", "S19", "D0"], ["D0", "C45", "C70", "D0"], ["D0", "C53", "C11", "D0"]]</x:v>
      </x:c>
    </x:row>
    <x:row r="205">
      <x:c r="A205" s="18" t="str">
        <x:v>results/week6/ablation_no_sa/alns_evrptw_summary.csv</x:v>
      </x:c>
      <x:c r="B205" s="18" t="str">
        <x:v>No_SA</x:v>
      </x:c>
      <x:c r="C205" s="18" t="str">
        <x:v>ALNS_EVRPTW_FULL_RECHARGE</x:v>
      </x:c>
      <x:c r="D205" s="18" t="str">
        <x:v>rc102C10</x:v>
      </x:c>
      <x:c r="E205" s="19" t="n">
        <x:v>66</x:v>
      </x:c>
      <x:c r="F205" s="18" t="str">
        <x:v>RC</x:v>
      </x:c>
      <x:c r="G205" s="19" t="n">
        <x:v>10</x:v>
      </x:c>
      <x:c r="H205" s="18" t="n">
        <x:v>1</x:v>
      </x:c>
      <x:c r="I205" s="19" t="n">
        <x:v>4</x:v>
      </x:c>
      <x:c r="J205" s="20" t="n">
        <x:v>423.510182</x:v>
      </x:c>
      <x:c r="K205" s="20" t="n">
        <x:v>9.158422</x:v>
      </x:c>
      <x:c r="L205" s="19" t="n">
        <x:v>1000</x:v>
      </x:c>
      <x:c r="M205" s="19" t="n">
        <x:v>0</x:v>
      </x:c>
      <x:c r="N205" s="19" t="n">
        <x:v>979</x:v>
      </x:c>
      <x:c r="O205" s="19" t="n">
        <x:v>0</x:v>
      </x:c>
      <x:c r="P205" s="19" t="n">
        <x:v>979</x:v>
      </x:c>
      <x:c r="Q205" s="19" t="n">
        <x:v>0</x:v>
      </x:c>
      <x:c r="R205" s="21" t="n">
        <x:f>P205/L205</x:f>
        <x:v>0.979</x:v>
      </x:c>
      <x:c r="S205" s="18" t="str">
        <x:v>iteration_limit</x:v>
      </x:c>
      <x:c r="T205" s="22" t="b">
        <x:v>0</x:v>
      </x:c>
      <x:c r="U205" s="19" t="n">
        <x:v>0</x:v>
      </x:c>
      <x:c r="V205" s="19" t="n">
        <x:v>0</x:v>
      </x:c>
      <x:c r="W205" s="19" t="n">
        <x:v>0</x:v>
      </x:c>
      <x:c r="X205" s="22" t="b">
        <x:v>0</x:v>
      </x:c>
      <x:c r="Y205" s="20" t="n">
        <x:v>0</x:v>
      </x:c>
      <x:c r="Z205" s="20" t="n">
        <x:v>0</x:v>
      </x:c>
      <x:c r="AA205" s="20" t="n">
        <x:v>0</x:v>
      </x:c>
      <x:c r="AB205" s="20" t="n">
        <x:v>0.51776</x:v>
      </x:c>
      <x:c r="AC205" s="20" t="n">
        <x:v>3</x:v>
      </x:c>
      <x:c r="AD205" s="20" t="n">
        <x:v>69.382613</x:v>
      </x:c>
      <x:c r="AE205" s="20" t="n">
        <x:v>86.835319</x:v>
      </x:c>
      <x:c r="AF205" s="18" t="str">
        <x:v>{"random_removal": 0.011529215046068483, "related_removal": 0.011529215046068483, "worst_removal": 0.011529215046068483}</x:v>
      </x:c>
      <x:c r="AG205" s="18" t="str">
        <x:v>{"greedy_insertion": 0.011529215046068483, "regret_2_insertion": 0.011529215046068483}</x:v>
      </x:c>
      <x:c r="AH205" s="18" t="str">
        <x:v>[["D0", "C57", "C49", "S15", "C92", "C54", "D0"], ["D0", "C44", "S1", "C26", "S19", "D0"], ["D0", "C45", "C70", "D0"], ["D0", "C53", "C11", "D0"]]</x:v>
      </x:c>
    </x:row>
    <x:row r="206">
      <x:c r="A206" s="18" t="str">
        <x:v>results/week6/ablation_no_sa/alns_evrptw_summary.csv</x:v>
      </x:c>
      <x:c r="B206" s="18" t="str">
        <x:v>No_SA</x:v>
      </x:c>
      <x:c r="C206" s="18" t="str">
        <x:v>ALNS_EVRPTW_FULL_RECHARGE</x:v>
      </x:c>
      <x:c r="D206" s="18" t="str">
        <x:v>rc103C15</x:v>
      </x:c>
      <x:c r="E206" s="19" t="n">
        <x:v>64</x:v>
      </x:c>
      <x:c r="F206" s="18" t="str">
        <x:v>RC</x:v>
      </x:c>
      <x:c r="G206" s="19" t="n">
        <x:v>15</x:v>
      </x:c>
      <x:c r="H206" s="18" t="n">
        <x:v>1</x:v>
      </x:c>
      <x:c r="I206" s="19" t="n">
        <x:v>4</x:v>
      </x:c>
      <x:c r="J206" s="20" t="n">
        <x:v>397.669857</x:v>
      </x:c>
      <x:c r="K206" s="20" t="n">
        <x:v>51.551325</x:v>
      </x:c>
      <x:c r="L206" s="19" t="n">
        <x:v>1000</x:v>
      </x:c>
      <x:c r="M206" s="19" t="n">
        <x:v>9</x:v>
      </x:c>
      <x:c r="N206" s="19" t="n">
        <x:v>916</x:v>
      </x:c>
      <x:c r="O206" s="19" t="n">
        <x:v>6</x:v>
      </x:c>
      <x:c r="P206" s="19" t="n">
        <x:v>910</x:v>
      </x:c>
      <x:c r="Q206" s="19" t="n">
        <x:v>0</x:v>
      </x:c>
      <x:c r="R206" s="21" t="n">
        <x:f>P206/L206</x:f>
        <x:v>0.91</x:v>
      </x:c>
      <x:c r="S206" s="18" t="str">
        <x:v>iteration_limit</x:v>
      </x:c>
      <x:c r="T206" s="22" t="b">
        <x:v>0</x:v>
      </x:c>
      <x:c r="U206" s="19" t="n">
        <x:v>0</x:v>
      </x:c>
      <x:c r="V206" s="19" t="n">
        <x:v>0</x:v>
      </x:c>
      <x:c r="W206" s="19" t="n">
        <x:v>0</x:v>
      </x:c>
      <x:c r="X206" s="22" t="b">
        <x:v>0</x:v>
      </x:c>
      <x:c r="Y206" s="20" t="n">
        <x:v>0</x:v>
      </x:c>
      <x:c r="Z206" s="20" t="n">
        <x:v>0</x:v>
      </x:c>
      <x:c r="AA206" s="20" t="n">
        <x:v>0</x:v>
      </x:c>
      <x:c r="AB206" s="20" t="n">
        <x:v>9.161259</x:v>
      </x:c>
      <x:c r="AC206" s="20" t="n">
        <x:v>4</x:v>
      </x:c>
      <x:c r="AD206" s="20" t="n">
        <x:v>70.648986</x:v>
      </x:c>
      <x:c r="AE206" s="20" t="n">
        <x:v>201.597326</x:v>
      </x:c>
      <x:c r="AF206" s="18" t="str">
        <x:v>{"random_removal": 0.013588003447152143, "related_removal": 0.012287716035941407, "worst_removal": 0.014072424247407121}</x:v>
      </x:c>
      <x:c r="AG206" s="18" t="str">
        <x:v>{"greedy_insertion": 0.012249790986447762, "regret_2_insertion": 0.013931134847332747}</x:v>
      </x:c>
      <x:c r="AH206" s="18" t="str">
        <x:v>[["D0", "C65", "C83", "C87", "S11", "C15", "D0"], ["D0", "S3", "C39", "C72", "C90", "D0"], ["D0", "C84", "S19", "C33", "C34", "C62", "D0"], ["D0", "C100", "C6", "C8", "S7", "C70", "D0"]]</x:v>
      </x:c>
    </x:row>
    <x:row r="207">
      <x:c r="A207" s="18" t="str">
        <x:v>results/week6/ablation_no_sa/alns_evrptw_summary.csv</x:v>
      </x:c>
      <x:c r="B207" s="18" t="str">
        <x:v>No_SA</x:v>
      </x:c>
      <x:c r="C207" s="18" t="str">
        <x:v>ALNS_EVRPTW_FULL_RECHARGE</x:v>
      </x:c>
      <x:c r="D207" s="18" t="str">
        <x:v>rc103C15</x:v>
      </x:c>
      <x:c r="E207" s="19" t="n">
        <x:v>65</x:v>
      </x:c>
      <x:c r="F207" s="18" t="str">
        <x:v>RC</x:v>
      </x:c>
      <x:c r="G207" s="19" t="n">
        <x:v>15</x:v>
      </x:c>
      <x:c r="H207" s="18" t="n">
        <x:v>1</x:v>
      </x:c>
      <x:c r="I207" s="19" t="n">
        <x:v>4</x:v>
      </x:c>
      <x:c r="J207" s="20" t="n">
        <x:v>397.669857</x:v>
      </x:c>
      <x:c r="K207" s="20" t="n">
        <x:v>52.370431</x:v>
      </x:c>
      <x:c r="L207" s="19" t="n">
        <x:v>1000</x:v>
      </x:c>
      <x:c r="M207" s="19" t="n">
        <x:v>7</x:v>
      </x:c>
      <x:c r="N207" s="19" t="n">
        <x:v>879</x:v>
      </x:c>
      <x:c r="O207" s="19" t="n">
        <x:v>5</x:v>
      </x:c>
      <x:c r="P207" s="19" t="n">
        <x:v>874</x:v>
      </x:c>
      <x:c r="Q207" s="19" t="n">
        <x:v>0</x:v>
      </x:c>
      <x:c r="R207" s="21" t="n">
        <x:f>P207/L207</x:f>
        <x:v>0.874</x:v>
      </x:c>
      <x:c r="S207" s="18" t="str">
        <x:v>iteration_limit</x:v>
      </x:c>
      <x:c r="T207" s="22" t="b">
        <x:v>0</x:v>
      </x:c>
      <x:c r="U207" s="19" t="n">
        <x:v>0</x:v>
      </x:c>
      <x:c r="V207" s="19" t="n">
        <x:v>0</x:v>
      </x:c>
      <x:c r="W207" s="19" t="n">
        <x:v>0</x:v>
      </x:c>
      <x:c r="X207" s="22" t="b">
        <x:v>0</x:v>
      </x:c>
      <x:c r="Y207" s="20" t="n">
        <x:v>0</x:v>
      </x:c>
      <x:c r="Z207" s="20" t="n">
        <x:v>0</x:v>
      </x:c>
      <x:c r="AA207" s="20" t="n">
        <x:v>0</x:v>
      </x:c>
      <x:c r="AB207" s="20" t="n">
        <x:v>9.161259</x:v>
      </x:c>
      <x:c r="AC207" s="20" t="n">
        <x:v>4</x:v>
      </x:c>
      <x:c r="AD207" s="20" t="n">
        <x:v>70.648986</x:v>
      </x:c>
      <x:c r="AE207" s="20" t="n">
        <x:v>201.597326</x:v>
      </x:c>
      <x:c r="AF207" s="18" t="str">
        <x:v>{"random_removal": 0.013450750887079893, "related_removal": 0.013224687846960912, "worst_removal": 0.01232985497982324}</x:v>
      </x:c>
      <x:c r="AG207" s="18" t="str">
        <x:v>{"greedy_insertion": 0.013130494913577992, "regret_2_insertion": 0.012782390594554183}</x:v>
      </x:c>
      <x:c r="AH207" s="18" t="str">
        <x:v>[["D0", "C65", "C83", "C87", "S11", "C15", "D0"], ["D0", "C100", "C6", "C8", "S7", "C70", "D0"], ["D0", "S3", "C39", "C72", "C90", "D0"], ["D0", "C84", "S19", "C33", "C34", "C62", "D0"]]</x:v>
      </x:c>
    </x:row>
    <x:row r="208">
      <x:c r="A208" s="18" t="str">
        <x:v>results/week6/ablation_no_sa/alns_evrptw_summary.csv</x:v>
      </x:c>
      <x:c r="B208" s="18" t="str">
        <x:v>No_SA</x:v>
      </x:c>
      <x:c r="C208" s="18" t="str">
        <x:v>ALNS_EVRPTW_FULL_RECHARGE</x:v>
      </x:c>
      <x:c r="D208" s="18" t="str">
        <x:v>rc103C15</x:v>
      </x:c>
      <x:c r="E208" s="19" t="n">
        <x:v>66</x:v>
      </x:c>
      <x:c r="F208" s="18" t="str">
        <x:v>RC</x:v>
      </x:c>
      <x:c r="G208" s="19" t="n">
        <x:v>15</x:v>
      </x:c>
      <x:c r="H208" s="18" t="n">
        <x:v>1</x:v>
      </x:c>
      <x:c r="I208" s="19" t="n">
        <x:v>4</x:v>
      </x:c>
      <x:c r="J208" s="20" t="n">
        <x:v>397.669857</x:v>
      </x:c>
      <x:c r="K208" s="20" t="n">
        <x:v>55.01931</x:v>
      </x:c>
      <x:c r="L208" s="19" t="n">
        <x:v>1000</x:v>
      </x:c>
      <x:c r="M208" s="19" t="n">
        <x:v>1</x:v>
      </x:c>
      <x:c r="N208" s="19" t="n">
        <x:v>897</x:v>
      </x:c>
      <x:c r="O208" s="19" t="n">
        <x:v>1</x:v>
      </x:c>
      <x:c r="P208" s="19" t="n">
        <x:v>896</x:v>
      </x:c>
      <x:c r="Q208" s="19" t="n">
        <x:v>0</x:v>
      </x:c>
      <x:c r="R208" s="21" t="n">
        <x:f>P208/L208</x:f>
        <x:v>0.896</x:v>
      </x:c>
      <x:c r="S208" s="18" t="str">
        <x:v>iteration_limit</x:v>
      </x:c>
      <x:c r="T208" s="22" t="b">
        <x:v>0</x:v>
      </x:c>
      <x:c r="U208" s="19" t="n">
        <x:v>0</x:v>
      </x:c>
      <x:c r="V208" s="19" t="n">
        <x:v>0</x:v>
      </x:c>
      <x:c r="W208" s="19" t="n">
        <x:v>0</x:v>
      </x:c>
      <x:c r="X208" s="22" t="b">
        <x:v>0</x:v>
      </x:c>
      <x:c r="Y208" s="20" t="n">
        <x:v>0</x:v>
      </x:c>
      <x:c r="Z208" s="20" t="n">
        <x:v>0</x:v>
      </x:c>
      <x:c r="AA208" s="20" t="n">
        <x:v>0</x:v>
      </x:c>
      <x:c r="AB208" s="20" t="n">
        <x:v>9.161259</x:v>
      </x:c>
      <x:c r="AC208" s="20" t="n">
        <x:v>4</x:v>
      </x:c>
      <x:c r="AD208" s="20" t="n">
        <x:v>67.687714</x:v>
      </x:c>
      <x:c r="AE208" s="20" t="n">
        <x:v>190.390032</x:v>
      </x:c>
      <x:c r="AF208" s="18" t="str">
        <x:v>{"random_removal": 0.012184284082776914, "related_removal": 0.011529215046068483, "worst_removal": 0.011529215046068483}</x:v>
      </x:c>
      <x:c r="AG208" s="18" t="str">
        <x:v>{"greedy_insertion": 0.012155802820311333, "regret_2_insertion": 0.011529215046068483}</x:v>
      </x:c>
      <x:c r="AH208" s="18" t="str">
        <x:v>[["D0", "C70", "S7", "C8", "C6", "C100", "D0"], ["D0", "S3", "C39", "C72", "C90", "D0"], ["D0", "C84", "S19", "C33", "C34", "C62", "D0"], ["D0", "C65", "C83", "C87", "S11", "C15", "D0"]]</x:v>
      </x:c>
    </x:row>
    <x:row r="209">
      <x:c r="A209" s="18" t="str">
        <x:v>results/week6/ablation_no_sa/alns_evrptw_summary.csv</x:v>
      </x:c>
      <x:c r="B209" s="18" t="str">
        <x:v>No_SA</x:v>
      </x:c>
      <x:c r="C209" s="18" t="str">
        <x:v>ALNS_EVRPTW_FULL_RECHARGE</x:v>
      </x:c>
      <x:c r="D209" s="18" t="str">
        <x:v>rc204C5</x:v>
      </x:c>
      <x:c r="E209" s="19" t="n">
        <x:v>64</x:v>
      </x:c>
      <x:c r="F209" s="18" t="str">
        <x:v>RC</x:v>
      </x:c>
      <x:c r="G209" s="19" t="n">
        <x:v>5</x:v>
      </x:c>
      <x:c r="H209" s="18" t="n">
        <x:v>1</x:v>
      </x:c>
      <x:c r="I209" s="19" t="n">
        <x:v>1</x:v>
      </x:c>
      <x:c r="J209" s="20" t="n">
        <x:v>179.162472</x:v>
      </x:c>
      <x:c r="K209" s="20" t="n">
        <x:v>3.38973</x:v>
      </x:c>
      <x:c r="L209" s="19" t="n">
        <x:v>1000</x:v>
      </x:c>
      <x:c r="M209" s="19" t="n">
        <x:v>3</x:v>
      </x:c>
      <x:c r="N209" s="19" t="n">
        <x:v>1000</x:v>
      </x:c>
      <x:c r="O209" s="19" t="n">
        <x:v>1</x:v>
      </x:c>
      <x:c r="P209" s="19" t="n">
        <x:v>999</x:v>
      </x:c>
      <x:c r="Q209" s="19" t="n">
        <x:v>0</x:v>
      </x:c>
      <x:c r="R209" s="21" t="n">
        <x:f>P209/L209</x:f>
        <x:v>0.999</x:v>
      </x:c>
      <x:c r="S209" s="18" t="str">
        <x:v>iteration_limit</x:v>
      </x:c>
      <x:c r="T209" s="22" t="b">
        <x:v>0</x:v>
      </x:c>
      <x:c r="U209" s="19" t="n">
        <x:v>0</x:v>
      </x:c>
      <x:c r="V209" s="19" t="n">
        <x:v>0</x:v>
      </x:c>
      <x:c r="W209" s="19" t="n">
        <x:v>0</x:v>
      </x:c>
      <x:c r="X209" s="22" t="b">
        <x:v>0</x:v>
      </x:c>
      <x:c r="Y209" s="20" t="n">
        <x:v>0</x:v>
      </x:c>
      <x:c r="Z209" s="20" t="n">
        <x:v>0</x:v>
      </x:c>
      <x:c r="AA209" s="20" t="n">
        <x:v>0</x:v>
      </x:c>
      <x:c r="AB209" s="20" t="n">
        <x:v>7.467526</x:v>
      </x:c>
      <x:c r="AC209" s="20" t="n">
        <x:v>2</x:v>
      </x:c>
      <x:c r="AD209" s="20" t="n">
        <x:v>43.556353</x:v>
      </x:c>
      <x:c r="AE209" s="20" t="n">
        <x:v>653.557856</x:v>
      </x:c>
      <x:c r="AF209" s="18" t="str">
        <x:v>{"random_removal": 0.01232985497982324, "related_removal": 0.011529215046068483, "worst_removal": 0.011529215046068483}</x:v>
      </x:c>
      <x:c r="AG209" s="18" t="str">
        <x:v>{"greedy_insertion": 0.012129694996384555, "regret_2_insertion": 0.011529215046068483}</x:v>
      </x:c>
      <x:c r="AH209" s="18" t="str">
        <x:v>[["D0", "C81", "C4", "S9", "S15", "C23", "C19", "C49", "D0"]]</x:v>
      </x:c>
    </x:row>
    <x:row r="210">
      <x:c r="A210" s="18" t="str">
        <x:v>results/week6/ablation_no_sa/alns_evrptw_summary.csv</x:v>
      </x:c>
      <x:c r="B210" s="18" t="str">
        <x:v>No_SA</x:v>
      </x:c>
      <x:c r="C210" s="18" t="str">
        <x:v>ALNS_EVRPTW_FULL_RECHARGE</x:v>
      </x:c>
      <x:c r="D210" s="18" t="str">
        <x:v>rc204C5</x:v>
      </x:c>
      <x:c r="E210" s="19" t="n">
        <x:v>65</x:v>
      </x:c>
      <x:c r="F210" s="18" t="str">
        <x:v>RC</x:v>
      </x:c>
      <x:c r="G210" s="19" t="n">
        <x:v>5</x:v>
      </x:c>
      <x:c r="H210" s="18" t="n">
        <x:v>1</x:v>
      </x:c>
      <x:c r="I210" s="19" t="n">
        <x:v>1</x:v>
      </x:c>
      <x:c r="J210" s="20" t="n">
        <x:v>179.162472</x:v>
      </x:c>
      <x:c r="K210" s="20" t="n">
        <x:v>3.507805</x:v>
      </x:c>
      <x:c r="L210" s="19" t="n">
        <x:v>1000</x:v>
      </x:c>
      <x:c r="M210" s="19" t="n">
        <x:v>15</x:v>
      </x:c>
      <x:c r="N210" s="19" t="n">
        <x:v>1000</x:v>
      </x:c>
      <x:c r="O210" s="19" t="n">
        <x:v>1</x:v>
      </x:c>
      <x:c r="P210" s="19" t="n">
        <x:v>999</x:v>
      </x:c>
      <x:c r="Q210" s="19" t="n">
        <x:v>0</x:v>
      </x:c>
      <x:c r="R210" s="21" t="n">
        <x:f>P210/L210</x:f>
        <x:v>0.999</x:v>
      </x:c>
      <x:c r="S210" s="18" t="str">
        <x:v>iteration_limit</x:v>
      </x:c>
      <x:c r="T210" s="22" t="b">
        <x:v>0</x:v>
      </x:c>
      <x:c r="U210" s="19" t="n">
        <x:v>0</x:v>
      </x:c>
      <x:c r="V210" s="19" t="n">
        <x:v>0</x:v>
      </x:c>
      <x:c r="W210" s="19" t="n">
        <x:v>0</x:v>
      </x:c>
      <x:c r="X210" s="22" t="b">
        <x:v>0</x:v>
      </x:c>
      <x:c r="Y210" s="20" t="n">
        <x:v>0</x:v>
      </x:c>
      <x:c r="Z210" s="20" t="n">
        <x:v>0</x:v>
      </x:c>
      <x:c r="AA210" s="20" t="n">
        <x:v>0</x:v>
      </x:c>
      <x:c r="AB210" s="20" t="n">
        <x:v>7.467526</x:v>
      </x:c>
      <x:c r="AC210" s="20" t="n">
        <x:v>2</x:v>
      </x:c>
      <x:c r="AD210" s="20" t="n">
        <x:v>43.556353</x:v>
      </x:c>
      <x:c r="AE210" s="20" t="n">
        <x:v>653.557856</x:v>
      </x:c>
      <x:c r="AF210" s="18" t="str">
        <x:v>{"random_removal": 0.011529215046068483, "related_removal": 0.011529215046068483, "worst_removal": 0.012287716035941407}</x:v>
      </x:c>
      <x:c r="AG210" s="18" t="str">
        <x:v>{"greedy_insertion": 0.011529215046068483, "regret_2_insertion": 0.012043912146339394}</x:v>
      </x:c>
      <x:c r="AH210" s="18" t="str">
        <x:v>[["D0", "C81", "C4", "S9", "S15", "C23", "C19", "C49", "D0"]]</x:v>
      </x:c>
    </x:row>
    <x:row r="211">
      <x:c r="A211" s="18" t="str">
        <x:v>results/week6/ablation_no_sa/alns_evrptw_summary.csv</x:v>
      </x:c>
      <x:c r="B211" s="18" t="str">
        <x:v>No_SA</x:v>
      </x:c>
      <x:c r="C211" s="18" t="str">
        <x:v>ALNS_EVRPTW_FULL_RECHARGE</x:v>
      </x:c>
      <x:c r="D211" s="18" t="str">
        <x:v>rc204C5</x:v>
      </x:c>
      <x:c r="E211" s="19" t="n">
        <x:v>66</x:v>
      </x:c>
      <x:c r="F211" s="18" t="str">
        <x:v>RC</x:v>
      </x:c>
      <x:c r="G211" s="19" t="n">
        <x:v>5</x:v>
      </x:c>
      <x:c r="H211" s="18" t="n">
        <x:v>1</x:v>
      </x:c>
      <x:c r="I211" s="19" t="n">
        <x:v>1</x:v>
      </x:c>
      <x:c r="J211" s="20" t="n">
        <x:v>179.162472</x:v>
      </x:c>
      <x:c r="K211" s="20" t="n">
        <x:v>3.501856</x:v>
      </x:c>
      <x:c r="L211" s="19" t="n">
        <x:v>1000</x:v>
      </x:c>
      <x:c r="M211" s="19" t="n">
        <x:v>6</x:v>
      </x:c>
      <x:c r="N211" s="19" t="n">
        <x:v>1000</x:v>
      </x:c>
      <x:c r="O211" s="19" t="n">
        <x:v>1</x:v>
      </x:c>
      <x:c r="P211" s="19" t="n">
        <x:v>999</x:v>
      </x:c>
      <x:c r="Q211" s="19" t="n">
        <x:v>0</x:v>
      </x:c>
      <x:c r="R211" s="21" t="n">
        <x:f>P211/L211</x:f>
        <x:v>0.999</x:v>
      </x:c>
      <x:c r="S211" s="18" t="str">
        <x:v>iteration_limit</x:v>
      </x:c>
      <x:c r="T211" s="22" t="b">
        <x:v>0</x:v>
      </x:c>
      <x:c r="U211" s="19" t="n">
        <x:v>0</x:v>
      </x:c>
      <x:c r="V211" s="19" t="n">
        <x:v>0</x:v>
      </x:c>
      <x:c r="W211" s="19" t="n">
        <x:v>0</x:v>
      </x:c>
      <x:c r="X211" s="22" t="b">
        <x:v>0</x:v>
      </x:c>
      <x:c r="Y211" s="20" t="n">
        <x:v>0</x:v>
      </x:c>
      <x:c r="Z211" s="20" t="n">
        <x:v>0</x:v>
      </x:c>
      <x:c r="AA211" s="20" t="n">
        <x:v>0</x:v>
      </x:c>
      <x:c r="AB211" s="20" t="n">
        <x:v>7.467526</x:v>
      </x:c>
      <x:c r="AC211" s="20" t="n">
        <x:v>2</x:v>
      </x:c>
      <x:c r="AD211" s="20" t="n">
        <x:v>43.556353</x:v>
      </x:c>
      <x:c r="AE211" s="20" t="n">
        <x:v>653.557856</x:v>
      </x:c>
      <x:c r="AF211" s="18" t="str">
        <x:v>{"random_removal": 0.011529215046068483, "related_removal": 0.011529215046068483, "worst_removal": 0.012558609246610312}</x:v>
      </x:c>
      <x:c r="AG211" s="18" t="str">
        <x:v>{"greedy_insertion": 0.011529215046068483, "regret_2_insertion": 0.012009599006321335}</x:v>
      </x:c>
      <x:c r="AH211" s="18" t="str">
        <x:v>[["D0", "C81", "C4", "S9", "S15", "C23", "C19", "C49", "D0"]]</x:v>
      </x:c>
    </x:row>
    <x:row r="212">
      <x:c r="A212" s="18" t="str">
        <x:v>results/week6/ablation_no_sa/alns_evrptw_summary.csv</x:v>
      </x:c>
      <x:c r="B212" s="18" t="str">
        <x:v>No_SA</x:v>
      </x:c>
      <x:c r="C212" s="18" t="str">
        <x:v>ALNS_EVRPTW_FULL_RECHARGE</x:v>
      </x:c>
      <x:c r="D212" s="18" t="str">
        <x:v>rc201C10</x:v>
      </x:c>
      <x:c r="E212" s="19" t="n">
        <x:v>64</x:v>
      </x:c>
      <x:c r="F212" s="18" t="str">
        <x:v>RC</x:v>
      </x:c>
      <x:c r="G212" s="19" t="n">
        <x:v>10</x:v>
      </x:c>
      <x:c r="H212" s="18" t="n">
        <x:v>1</x:v>
      </x:c>
      <x:c r="I212" s="19" t="n">
        <x:v>1</x:v>
      </x:c>
      <x:c r="J212" s="20" t="n">
        <x:v>412.861395</x:v>
      </x:c>
      <x:c r="K212" s="20" t="n">
        <x:v>23.048727</x:v>
      </x:c>
      <x:c r="L212" s="19" t="n">
        <x:v>1000</x:v>
      </x:c>
      <x:c r="M212" s="19" t="n">
        <x:v>0</x:v>
      </x:c>
      <x:c r="N212" s="19" t="n">
        <x:v>993</x:v>
      </x:c>
      <x:c r="O212" s="19" t="n">
        <x:v>0</x:v>
      </x:c>
      <x:c r="P212" s="19" t="n">
        <x:v>993</x:v>
      </x:c>
      <x:c r="Q212" s="19" t="n">
        <x:v>0</x:v>
      </x:c>
      <x:c r="R212" s="21" t="n">
        <x:f>P212/L212</x:f>
        <x:v>0.993</x:v>
      </x:c>
      <x:c r="S212" s="18" t="str">
        <x:v>iteration_limit</x:v>
      </x:c>
      <x:c r="T212" s="22" t="b">
        <x:v>0</x:v>
      </x:c>
      <x:c r="U212" s="19" t="n">
        <x:v>0</x:v>
      </x:c>
      <x:c r="V212" s="19" t="n">
        <x:v>0</x:v>
      </x:c>
      <x:c r="W212" s="19" t="n">
        <x:v>0</x:v>
      </x:c>
      <x:c r="X212" s="22" t="b">
        <x:v>0</x:v>
      </x:c>
      <x:c r="Y212" s="20" t="n">
        <x:v>0</x:v>
      </x:c>
      <x:c r="Z212" s="20" t="n">
        <x:v>0</x:v>
      </x:c>
      <x:c r="AA212" s="20" t="n">
        <x:v>0</x:v>
      </x:c>
      <x:c r="AB212" s="20" t="n">
        <x:v>0.919251</x:v>
      </x:c>
      <x:c r="AC212" s="20" t="n">
        <x:v>6</x:v>
      </x:c>
      <x:c r="AD212" s="20" t="n">
        <x:v>134.878643</x:v>
      </x:c>
      <x:c r="AE212" s="20" t="n">
        <x:v>158.301557</x:v>
      </x:c>
      <x:c r="AF212" s="18" t="str">
        <x:v>{"random_removal": 0.011529215046068483, "related_removal": 0.011529215046068483, "worst_removal": 0.011529215046068483}</x:v>
      </x:c>
      <x:c r="AG212" s="18" t="str">
        <x:v>{"greedy_insertion": 0.011529215046068483, "regret_2_insertion": 0.011529215046068483}</x:v>
      </x:c>
      <x:c r="AH212" s="18" t="str">
        <x:v>[["D0", "S9", "C79", "C43", "S3", "C62", "S0", "C98", "C14", "S0", "C93", "C54", "S0", "C88", "S15", "C22", "C81", "D0"]]</x:v>
      </x:c>
    </x:row>
    <x:row r="213">
      <x:c r="A213" s="18" t="str">
        <x:v>results/week6/ablation_no_sa/alns_evrptw_summary.csv</x:v>
      </x:c>
      <x:c r="B213" s="18" t="str">
        <x:v>No_SA</x:v>
      </x:c>
      <x:c r="C213" s="18" t="str">
        <x:v>ALNS_EVRPTW_FULL_RECHARGE</x:v>
      </x:c>
      <x:c r="D213" s="18" t="str">
        <x:v>rc201C10</x:v>
      </x:c>
      <x:c r="E213" s="19" t="n">
        <x:v>65</x:v>
      </x:c>
      <x:c r="F213" s="18" t="str">
        <x:v>RC</x:v>
      </x:c>
      <x:c r="G213" s="19" t="n">
        <x:v>10</x:v>
      </x:c>
      <x:c r="H213" s="18" t="n">
        <x:v>1</x:v>
      </x:c>
      <x:c r="I213" s="19" t="n">
        <x:v>1</x:v>
      </x:c>
      <x:c r="J213" s="20" t="n">
        <x:v>412.861395</x:v>
      </x:c>
      <x:c r="K213" s="20" t="n">
        <x:v>23.620489</x:v>
      </x:c>
      <x:c r="L213" s="19" t="n">
        <x:v>1000</x:v>
      </x:c>
      <x:c r="M213" s="19" t="n">
        <x:v>0</x:v>
      </x:c>
      <x:c r="N213" s="19" t="n">
        <x:v>991</x:v>
      </x:c>
      <x:c r="O213" s="19" t="n">
        <x:v>0</x:v>
      </x:c>
      <x:c r="P213" s="19" t="n">
        <x:v>991</x:v>
      </x:c>
      <x:c r="Q213" s="19" t="n">
        <x:v>0</x:v>
      </x:c>
      <x:c r="R213" s="21" t="n">
        <x:f>P213/L213</x:f>
        <x:v>0.991</x:v>
      </x:c>
      <x:c r="S213" s="18" t="str">
        <x:v>iteration_limit</x:v>
      </x:c>
      <x:c r="T213" s="22" t="b">
        <x:v>0</x:v>
      </x:c>
      <x:c r="U213" s="19" t="n">
        <x:v>0</x:v>
      </x:c>
      <x:c r="V213" s="19" t="n">
        <x:v>0</x:v>
      </x:c>
      <x:c r="W213" s="19" t="n">
        <x:v>0</x:v>
      </x:c>
      <x:c r="X213" s="22" t="b">
        <x:v>0</x:v>
      </x:c>
      <x:c r="Y213" s="20" t="n">
        <x:v>0</x:v>
      </x:c>
      <x:c r="Z213" s="20" t="n">
        <x:v>0</x:v>
      </x:c>
      <x:c r="AA213" s="20" t="n">
        <x:v>0</x:v>
      </x:c>
      <x:c r="AB213" s="20" t="n">
        <x:v>0.919251</x:v>
      </x:c>
      <x:c r="AC213" s="20" t="n">
        <x:v>6</x:v>
      </x:c>
      <x:c r="AD213" s="20" t="n">
        <x:v>134.878643</x:v>
      </x:c>
      <x:c r="AE213" s="20" t="n">
        <x:v>158.301557</x:v>
      </x:c>
      <x:c r="AF213" s="18" t="str">
        <x:v>{"random_removal": 0.011529215046068483, "related_removal": 0.011529215046068483, "worst_removal": 0.011529215046068483}</x:v>
      </x:c>
      <x:c r="AG213" s="18" t="str">
        <x:v>{"greedy_insertion": 0.011529215046068483, "regret_2_insertion": 0.011529215046068483}</x:v>
      </x:c>
      <x:c r="AH213" s="18" t="str">
        <x:v>[["D0", "S9", "C79", "C43", "S3", "C62", "S0", "C98", "C14", "S0", "C93", "C54", "S0", "C88", "S15", "C22", "C81", "D0"]]</x:v>
      </x:c>
    </x:row>
    <x:row r="214">
      <x:c r="A214" s="18" t="str">
        <x:v>results/week6/ablation_no_sa/alns_evrptw_summary.csv</x:v>
      </x:c>
      <x:c r="B214" s="18" t="str">
        <x:v>No_SA</x:v>
      </x:c>
      <x:c r="C214" s="18" t="str">
        <x:v>ALNS_EVRPTW_FULL_RECHARGE</x:v>
      </x:c>
      <x:c r="D214" s="18" t="str">
        <x:v>rc201C10</x:v>
      </x:c>
      <x:c r="E214" s="19" t="n">
        <x:v>66</x:v>
      </x:c>
      <x:c r="F214" s="18" t="str">
        <x:v>RC</x:v>
      </x:c>
      <x:c r="G214" s="19" t="n">
        <x:v>10</x:v>
      </x:c>
      <x:c r="H214" s="18" t="n">
        <x:v>1</x:v>
      </x:c>
      <x:c r="I214" s="19" t="n">
        <x:v>1</x:v>
      </x:c>
      <x:c r="J214" s="20" t="n">
        <x:v>412.861395</x:v>
      </x:c>
      <x:c r="K214" s="20" t="n">
        <x:v>23.515254</x:v>
      </x:c>
      <x:c r="L214" s="19" t="n">
        <x:v>1000</x:v>
      </x:c>
      <x:c r="M214" s="19" t="n">
        <x:v>0</x:v>
      </x:c>
      <x:c r="N214" s="19" t="n">
        <x:v>996</x:v>
      </x:c>
      <x:c r="O214" s="19" t="n">
        <x:v>0</x:v>
      </x:c>
      <x:c r="P214" s="19" t="n">
        <x:v>996</x:v>
      </x:c>
      <x:c r="Q214" s="19" t="n">
        <x:v>0</x:v>
      </x:c>
      <x:c r="R214" s="21" t="n">
        <x:f>P214/L214</x:f>
        <x:v>0.996</x:v>
      </x:c>
      <x:c r="S214" s="18" t="str">
        <x:v>iteration_limit</x:v>
      </x:c>
      <x:c r="T214" s="22" t="b">
        <x:v>0</x:v>
      </x:c>
      <x:c r="U214" s="19" t="n">
        <x:v>0</x:v>
      </x:c>
      <x:c r="V214" s="19" t="n">
        <x:v>0</x:v>
      </x:c>
      <x:c r="W214" s="19" t="n">
        <x:v>0</x:v>
      </x:c>
      <x:c r="X214" s="22" t="b">
        <x:v>0</x:v>
      </x:c>
      <x:c r="Y214" s="20" t="n">
        <x:v>0</x:v>
      </x:c>
      <x:c r="Z214" s="20" t="n">
        <x:v>0</x:v>
      </x:c>
      <x:c r="AA214" s="20" t="n">
        <x:v>0</x:v>
      </x:c>
      <x:c r="AB214" s="20" t="n">
        <x:v>0.919251</x:v>
      </x:c>
      <x:c r="AC214" s="20" t="n">
        <x:v>6</x:v>
      </x:c>
      <x:c r="AD214" s="20" t="n">
        <x:v>134.878643</x:v>
      </x:c>
      <x:c r="AE214" s="20" t="n">
        <x:v>158.301557</x:v>
      </x:c>
      <x:c r="AF214" s="18" t="str">
        <x:v>{"random_removal": 0.011529215046068483, "related_removal": 0.011529215046068483, "worst_removal": 0.011529215046068483}</x:v>
      </x:c>
      <x:c r="AG214" s="18" t="str">
        <x:v>{"greedy_insertion": 0.011529215046068483, "regret_2_insertion": 0.011529215046068483}</x:v>
      </x:c>
      <x:c r="AH214" s="18" t="str">
        <x:v>[["D0", "S9", "C79", "C43", "S3", "C62", "S0", "C98", "C14", "S0", "C93", "C54", "S0", "C88", "S15", "C22", "C81", "D0"]]</x:v>
      </x:c>
    </x:row>
    <x:row r="215">
      <x:c r="A215" s="18" t="str">
        <x:v>results/week6/ablation_no_sa/alns_evrptw_summary.csv</x:v>
      </x:c>
      <x:c r="B215" s="18" t="str">
        <x:v>No_SA</x:v>
      </x:c>
      <x:c r="C215" s="18" t="str">
        <x:v>ALNS_EVRPTW_FULL_RECHARGE</x:v>
      </x:c>
      <x:c r="D215" s="18" t="str">
        <x:v>rc202C15</x:v>
      </x:c>
      <x:c r="E215" s="19" t="n">
        <x:v>64</x:v>
      </x:c>
      <x:c r="F215" s="18" t="str">
        <x:v>RC</x:v>
      </x:c>
      <x:c r="G215" s="19" t="n">
        <x:v>15</x:v>
      </x:c>
      <x:c r="H215" s="18" t="n">
        <x:v>1</x:v>
      </x:c>
      <x:c r="I215" s="19" t="n">
        <x:v>2</x:v>
      </x:c>
      <x:c r="J215" s="20" t="n">
        <x:v>458.254671</x:v>
      </x:c>
      <x:c r="K215" s="20" t="n">
        <x:v>137.48152</x:v>
      </x:c>
      <x:c r="L215" s="19" t="n">
        <x:v>1000</x:v>
      </x:c>
      <x:c r="M215" s="19" t="n">
        <x:v>156</x:v>
      </x:c>
      <x:c r="N215" s="19" t="n">
        <x:v>638</x:v>
      </x:c>
      <x:c r="O215" s="19" t="n">
        <x:v>5</x:v>
      </x:c>
      <x:c r="P215" s="19" t="n">
        <x:v>633</x:v>
      </x:c>
      <x:c r="Q215" s="19" t="n">
        <x:v>0</x:v>
      </x:c>
      <x:c r="R215" s="21" t="n">
        <x:f>P215/L215</x:f>
        <x:v>0.633</x:v>
      </x:c>
      <x:c r="S215" s="18" t="str">
        <x:v>iteration_limit</x:v>
      </x:c>
      <x:c r="T215" s="22" t="b">
        <x:v>0</x:v>
      </x:c>
      <x:c r="U215" s="19" t="n">
        <x:v>0</x:v>
      </x:c>
      <x:c r="V215" s="19" t="n">
        <x:v>0</x:v>
      </x:c>
      <x:c r="W215" s="19" t="n">
        <x:v>0</x:v>
      </x:c>
      <x:c r="X215" s="22" t="b">
        <x:v>0</x:v>
      </x:c>
      <x:c r="Y215" s="20" t="n">
        <x:v>0</x:v>
      </x:c>
      <x:c r="Z215" s="20" t="n">
        <x:v>0</x:v>
      </x:c>
      <x:c r="AA215" s="20" t="n">
        <x:v>0</x:v>
      </x:c>
      <x:c r="AB215" s="20" t="n">
        <x:v>0.559507</x:v>
      </x:c>
      <x:c r="AC215" s="20" t="n">
        <x:v>6</x:v>
      </x:c>
      <x:c r="AD215" s="20" t="n">
        <x:v>134.684122</x:v>
      </x:c>
      <x:c r="AE215" s="20" t="n">
        <x:v>885.853621</x:v>
      </x:c>
      <x:c r="AF215" s="18" t="str">
        <x:v>{"random_removal": 0.01369440717461199, "related_removal": 0.013224687846960912, "worst_removal": 0.013330654897016687}</x:v>
      </x:c>
      <x:c r="AG215" s="18" t="str">
        <x:v>{"greedy_insertion": 0.013772674860443791, "regret_2_insertion": 0.01263779341588276}</x:v>
      </x:c>
      <x:c r="AH215" s="18" t="str">
        <x:v>[["D0", "C90", "C57", "C52", "S13", "S7", "C45", "C46", "D0"], ["D0", "C43", "S3", "C37", "C72", "C1", "S7", "C47", "C11", "S13", "C95", "C64", "C18", "S16", "C50", "D0"]]</x:v>
      </x:c>
    </x:row>
    <x:row r="216">
      <x:c r="A216" s="18" t="str">
        <x:v>results/week6/ablation_no_sa/alns_evrptw_summary.csv</x:v>
      </x:c>
      <x:c r="B216" s="18" t="str">
        <x:v>No_SA</x:v>
      </x:c>
      <x:c r="C216" s="18" t="str">
        <x:v>ALNS_EVRPTW_FULL_RECHARGE</x:v>
      </x:c>
      <x:c r="D216" s="18" t="str">
        <x:v>rc202C15</x:v>
      </x:c>
      <x:c r="E216" s="19" t="n">
        <x:v>65</x:v>
      </x:c>
      <x:c r="F216" s="18" t="str">
        <x:v>RC</x:v>
      </x:c>
      <x:c r="G216" s="19" t="n">
        <x:v>15</x:v>
      </x:c>
      <x:c r="H216" s="18" t="n">
        <x:v>1</x:v>
      </x:c>
      <x:c r="I216" s="19" t="n">
        <x:v>2</x:v>
      </x:c>
      <x:c r="J216" s="20" t="n">
        <x:v>458.254671</x:v>
      </x:c>
      <x:c r="K216" s="20" t="n">
        <x:v>131.024131</x:v>
      </x:c>
      <x:c r="L216" s="19" t="n">
        <x:v>1000</x:v>
      </x:c>
      <x:c r="M216" s="19" t="n">
        <x:v>229</x:v>
      </x:c>
      <x:c r="N216" s="19" t="n">
        <x:v>634</x:v>
      </x:c>
      <x:c r="O216" s="19" t="n">
        <x:v>7</x:v>
      </x:c>
      <x:c r="P216" s="19" t="n">
        <x:v>627</x:v>
      </x:c>
      <x:c r="Q216" s="19" t="n">
        <x:v>0</x:v>
      </x:c>
      <x:c r="R216" s="21" t="n">
        <x:f>P216/L216</x:f>
        <x:v>0.627</x:v>
      </x:c>
      <x:c r="S216" s="18" t="str">
        <x:v>iteration_limit</x:v>
      </x:c>
      <x:c r="T216" s="22" t="b">
        <x:v>0</x:v>
      </x:c>
      <x:c r="U216" s="19" t="n">
        <x:v>0</x:v>
      </x:c>
      <x:c r="V216" s="19" t="n">
        <x:v>0</x:v>
      </x:c>
      <x:c r="W216" s="19" t="n">
        <x:v>0</x:v>
      </x:c>
      <x:c r="X216" s="22" t="b">
        <x:v>0</x:v>
      </x:c>
      <x:c r="Y216" s="20" t="n">
        <x:v>0</x:v>
      </x:c>
      <x:c r="Z216" s="20" t="n">
        <x:v>0</x:v>
      </x:c>
      <x:c r="AA216" s="20" t="n">
        <x:v>0</x:v>
      </x:c>
      <x:c r="AB216" s="20" t="n">
        <x:v>0.559507</x:v>
      </x:c>
      <x:c r="AC216" s="20" t="n">
        <x:v>6</x:v>
      </x:c>
      <x:c r="AD216" s="20" t="n">
        <x:v>134.684122</x:v>
      </x:c>
      <x:c r="AE216" s="20" t="n">
        <x:v>885.853621</x:v>
      </x:c>
      <x:c r="AF216" s="18" t="str">
        <x:v>{"random_removal": 0.013450750887079893, "related_removal": 0.016142093193809003, "worst_removal": 0.01232985497982324}</x:v>
      </x:c>
      <x:c r="AG216" s="18" t="str">
        <x:v>{"greedy_insertion": 0.014654196540753115, "regret_2_insertion": 0.012839353119485353}</x:v>
      </x:c>
      <x:c r="AH216" s="18" t="str">
        <x:v>[["D0", "C90", "C57", "C52", "S13", "S7", "C45", "C46", "D0"], ["D0", "C43", "S3", "C37", "C72", "C1", "S7", "C47", "C11", "S13", "C95", "C64", "C18", "S16", "C50", "D0"]]</x:v>
      </x:c>
    </x:row>
    <x:row r="217">
      <x:c r="A217" s="18" t="str">
        <x:v>results/week6/ablation_no_sa/alns_evrptw_summary.csv</x:v>
      </x:c>
      <x:c r="B217" s="18" t="str">
        <x:v>No_SA</x:v>
      </x:c>
      <x:c r="C217" s="18" t="str">
        <x:v>ALNS_EVRPTW_FULL_RECHARGE</x:v>
      </x:c>
      <x:c r="D217" s="18" t="str">
        <x:v>rc202C15</x:v>
      </x:c>
      <x:c r="E217" s="19" t="n">
        <x:v>66</x:v>
      </x:c>
      <x:c r="F217" s="18" t="str">
        <x:v>RC</x:v>
      </x:c>
      <x:c r="G217" s="19" t="n">
        <x:v>15</x:v>
      </x:c>
      <x:c r="H217" s="18" t="n">
        <x:v>1</x:v>
      </x:c>
      <x:c r="I217" s="19" t="n">
        <x:v>2</x:v>
      </x:c>
      <x:c r="J217" s="20" t="n">
        <x:v>394.387139</x:v>
      </x:c>
      <x:c r="K217" s="20" t="n">
        <x:v>143.945949</x:v>
      </x:c>
      <x:c r="L217" s="19" t="n">
        <x:v>1000</x:v>
      </x:c>
      <x:c r="M217" s="19" t="n">
        <x:v>209</x:v>
      </x:c>
      <x:c r="N217" s="19" t="n">
        <x:v>795</x:v>
      </x:c>
      <x:c r="O217" s="19" t="n">
        <x:v>2</x:v>
      </x:c>
      <x:c r="P217" s="19" t="n">
        <x:v>793</x:v>
      </x:c>
      <x:c r="Q217" s="19" t="n">
        <x:v>0</x:v>
      </x:c>
      <x:c r="R217" s="21" t="n">
        <x:f>P217/L217</x:f>
        <x:v>0.793</x:v>
      </x:c>
      <x:c r="S217" s="18" t="str">
        <x:v>iteration_limit</x:v>
      </x:c>
      <x:c r="T217" s="22" t="b">
        <x:v>0</x:v>
      </x:c>
      <x:c r="U217" s="19" t="n">
        <x:v>0</x:v>
      </x:c>
      <x:c r="V217" s="19" t="n">
        <x:v>0</x:v>
      </x:c>
      <x:c r="W217" s="19" t="n">
        <x:v>0</x:v>
      </x:c>
      <x:c r="X217" s="22" t="b">
        <x:v>0</x:v>
      </x:c>
      <x:c r="Y217" s="20" t="n">
        <x:v>0</x:v>
      </x:c>
      <x:c r="Z217" s="20" t="n">
        <x:v>0</x:v>
      </x:c>
      <x:c r="AA217" s="20" t="n">
        <x:v>0</x:v>
      </x:c>
      <x:c r="AB217" s="20" t="n">
        <x:v>5.2188</x:v>
      </x:c>
      <x:c r="AC217" s="20" t="n">
        <x:v>6</x:v>
      </x:c>
      <x:c r="AD217" s="20" t="n">
        <x:v>109.775784</x:v>
      </x:c>
      <x:c r="AE217" s="20" t="n">
        <x:v>978.697585</x:v>
      </x:c>
      <x:c r="AF217" s="18" t="str">
        <x:v>{"random_removal": 0.014689006222126192, "related_removal": 0.011529215046068483, "worst_removal": 0.011529215046068483}</x:v>
      </x:c>
      <x:c r="AG217" s="18" t="str">
        <x:v>{"greedy_insertion": 0.013591658966330201, "regret_2_insertion": 0.011529215046068483}</x:v>
      </x:c>
      <x:c r="AH217" s="18" t="str">
        <x:v>[["D0", "C90", "C57", "S13", "C47", "C11", "S13", "C52", "C95", "C64", "S16", "C18", "S16", "C50", "D0"], ["D0", "C43", "S3", "C37", "C72", "C1", "S7", "C45", "C46", "D0"]]</x:v>
      </x:c>
    </x:row>
    <x:row r="218">
      <x:c r="A218" s="18" t="str">
        <x:v>results/week6/ablation_no_local_search/alns_evrptw_summary.csv</x:v>
      </x:c>
      <x:c r="B218" s="18" t="str">
        <x:v>No_Local_Search</x:v>
      </x:c>
      <x:c r="C218" s="18" t="str">
        <x:v>ALNS_EVRPTW_FULL_RECHARGE</x:v>
      </x:c>
      <x:c r="D218" s="18" t="str">
        <x:v>c101C5</x:v>
      </x:c>
      <x:c r="E218" s="19" t="n">
        <x:v>64</x:v>
      </x:c>
      <x:c r="F218" s="18" t="str">
        <x:v>C</x:v>
      </x:c>
      <x:c r="G218" s="19" t="n">
        <x:v>5</x:v>
      </x:c>
      <x:c r="H218" s="18" t="n">
        <x:v>1</x:v>
      </x:c>
      <x:c r="I218" s="19" t="n">
        <x:v>3</x:v>
      </x:c>
      <x:c r="J218" s="20" t="n">
        <x:v>247.149706</x:v>
      </x:c>
      <x:c r="K218" s="20" t="n">
        <x:v>0.583168</x:v>
      </x:c>
      <x:c r="L218" s="19" t="n">
        <x:v>1000</x:v>
      </x:c>
      <x:c r="M218" s="19" t="n">
        <x:v>14</x:v>
      </x:c>
      <x:c r="N218" s="19" t="n">
        <x:v>1000</x:v>
      </x:c>
      <x:c r="O218" s="19" t="n">
        <x:v>2</x:v>
      </x:c>
      <x:c r="P218" s="19" t="n">
        <x:v>998</x:v>
      </x:c>
      <x:c r="Q218" s="19" t="n">
        <x:v>0</x:v>
      </x:c>
      <x:c r="R218" s="21" t="n">
        <x:f>P218/L218</x:f>
        <x:v>0.998</x:v>
      </x:c>
      <x:c r="S218" s="18" t="str">
        <x:v>iteration_limit</x:v>
      </x:c>
      <x:c r="T218" s="22" t="b">
        <x:v>0</x:v>
      </x:c>
      <x:c r="U218" s="19" t="n">
        <x:v>0</x:v>
      </x:c>
      <x:c r="V218" s="19" t="n">
        <x:v>0</x:v>
      </x:c>
      <x:c r="W218" s="19" t="n">
        <x:v>0</x:v>
      </x:c>
      <x:c r="X218" s="22" t="b">
        <x:v>0</x:v>
      </x:c>
      <x:c r="Y218" s="20" t="n">
        <x:v>0</x:v>
      </x:c>
      <x:c r="Z218" s="20" t="n">
        <x:v>0</x:v>
      </x:c>
      <x:c r="AA218" s="20" t="n">
        <x:v>0</x:v>
      </x:c>
      <x:c r="AB218" s="20" t="n">
        <x:v>2.113492</x:v>
      </x:c>
      <x:c r="AC218" s="20" t="n">
        <x:v>2</x:v>
      </x:c>
      <x:c r="AD218" s="20" t="n">
        <x:v>236.59311</x:v>
      </x:c>
      <x:c r="AE218" s="20" t="n">
        <x:v>1260.683715</x:v>
      </x:c>
      <x:c r="AF218" s="18" t="str">
        <x:v>{"random_removal": 0.012489982966574187, "related_removal": 0.01232985497982324, "worst_removal": 0.011529215046068483}</x:v>
      </x:c>
      <x:c r="AG218" s="18" t="str">
        <x:v>{"greedy_insertion": 0.012184284082776914, "regret_2_insertion": 0.012043912146339394}</x:v>
      </x:c>
      <x:c r="AH218" s="18" t="str">
        <x:v>[["D0", "C30", "D0"], ["D0", "S15", "C64", "C85", "D0"], ["D0", "C12", "S5", "C100", "D0"]]</x:v>
      </x:c>
    </x:row>
    <x:row r="219">
      <x:c r="A219" s="18" t="str">
        <x:v>results/week6/ablation_no_local_search/alns_evrptw_summary.csv</x:v>
      </x:c>
      <x:c r="B219" s="18" t="str">
        <x:v>No_Local_Search</x:v>
      </x:c>
      <x:c r="C219" s="18" t="str">
        <x:v>ALNS_EVRPTW_FULL_RECHARGE</x:v>
      </x:c>
      <x:c r="D219" s="18" t="str">
        <x:v>c101C5</x:v>
      </x:c>
      <x:c r="E219" s="19" t="n">
        <x:v>65</x:v>
      </x:c>
      <x:c r="F219" s="18" t="str">
        <x:v>C</x:v>
      </x:c>
      <x:c r="G219" s="19" t="n">
        <x:v>5</x:v>
      </x:c>
      <x:c r="H219" s="18" t="n">
        <x:v>1</x:v>
      </x:c>
      <x:c r="I219" s="19" t="n">
        <x:v>3</x:v>
      </x:c>
      <x:c r="J219" s="20" t="n">
        <x:v>247.149706</x:v>
      </x:c>
      <x:c r="K219" s="20" t="n">
        <x:v>0.692985</x:v>
      </x:c>
      <x:c r="L219" s="19" t="n">
        <x:v>1000</x:v>
      </x:c>
      <x:c r="M219" s="19" t="n">
        <x:v>5</x:v>
      </x:c>
      <x:c r="N219" s="19" t="n">
        <x:v>1000</x:v>
      </x:c>
      <x:c r="O219" s="19" t="n">
        <x:v>2</x:v>
      </x:c>
      <x:c r="P219" s="19" t="n">
        <x:v>998</x:v>
      </x:c>
      <x:c r="Q219" s="19" t="n">
        <x:v>0</x:v>
      </x:c>
      <x:c r="R219" s="21" t="n">
        <x:f>P219/L219</x:f>
        <x:v>0.998</x:v>
      </x:c>
      <x:c r="S219" s="18" t="str">
        <x:v>iteration_limit</x:v>
      </x:c>
      <x:c r="T219" s="22" t="b">
        <x:v>0</x:v>
      </x:c>
      <x:c r="U219" s="19" t="n">
        <x:v>0</x:v>
      </x:c>
      <x:c r="V219" s="19" t="n">
        <x:v>0</x:v>
      </x:c>
      <x:c r="W219" s="19" t="n">
        <x:v>0</x:v>
      </x:c>
      <x:c r="X219" s="22" t="b">
        <x:v>0</x:v>
      </x:c>
      <x:c r="Y219" s="20" t="n">
        <x:v>0</x:v>
      </x:c>
      <x:c r="Z219" s="20" t="n">
        <x:v>0</x:v>
      </x:c>
      <x:c r="AA219" s="20" t="n">
        <x:v>0</x:v>
      </x:c>
      <x:c r="AB219" s="20" t="n">
        <x:v>2.113492</x:v>
      </x:c>
      <x:c r="AC219" s="20" t="n">
        <x:v>2</x:v>
      </x:c>
      <x:c r="AD219" s="20" t="n">
        <x:v>236.59311</x:v>
      </x:c>
      <x:c r="AE219" s="20" t="n">
        <x:v>1260.683715</x:v>
      </x:c>
      <x:c r="AF219" s="18" t="str">
        <x:v>{"random_removal": 0.012249790986447762, "related_removal": 0.01232985497982324, "worst_removal": 0.011529215046068483}</x:v>
      </x:c>
      <x:c r="AG219" s="18" t="str">
        <x:v>{"greedy_insertion": 0.013046217025814334, "regret_2_insertion": 0.011529215046068483}</x:v>
      </x:c>
      <x:c r="AH219" s="18" t="str">
        <x:v>[["D0", "C30", "D0"], ["D0", "C12", "S5", "C100", "D0"], ["D0", "S15", "C64", "C85", "D0"]]</x:v>
      </x:c>
    </x:row>
    <x:row r="220">
      <x:c r="A220" s="18" t="str">
        <x:v>results/week6/ablation_no_local_search/alns_evrptw_summary.csv</x:v>
      </x:c>
      <x:c r="B220" s="18" t="str">
        <x:v>No_Local_Search</x:v>
      </x:c>
      <x:c r="C220" s="18" t="str">
        <x:v>ALNS_EVRPTW_FULL_RECHARGE</x:v>
      </x:c>
      <x:c r="D220" s="18" t="str">
        <x:v>c101C5</x:v>
      </x:c>
      <x:c r="E220" s="19" t="n">
        <x:v>66</x:v>
      </x:c>
      <x:c r="F220" s="18" t="str">
        <x:v>C</x:v>
      </x:c>
      <x:c r="G220" s="19" t="n">
        <x:v>5</x:v>
      </x:c>
      <x:c r="H220" s="18" t="n">
        <x:v>1</x:v>
      </x:c>
      <x:c r="I220" s="19" t="n">
        <x:v>3</x:v>
      </x:c>
      <x:c r="J220" s="20" t="n">
        <x:v>247.149706</x:v>
      </x:c>
      <x:c r="K220" s="20" t="n">
        <x:v>0.538637</x:v>
      </x:c>
      <x:c r="L220" s="19" t="n">
        <x:v>1000</x:v>
      </x:c>
      <x:c r="M220" s="19" t="n">
        <x:v>14</x:v>
      </x:c>
      <x:c r="N220" s="19" t="n">
        <x:v>1000</x:v>
      </x:c>
      <x:c r="O220" s="19" t="n">
        <x:v>2</x:v>
      </x:c>
      <x:c r="P220" s="19" t="n">
        <x:v>998</x:v>
      </x:c>
      <x:c r="Q220" s="19" t="n">
        <x:v>0</x:v>
      </x:c>
      <x:c r="R220" s="21" t="n">
        <x:f>P220/L220</x:f>
        <x:v>0.998</x:v>
      </x:c>
      <x:c r="S220" s="18" t="str">
        <x:v>iteration_limit</x:v>
      </x:c>
      <x:c r="T220" s="22" t="b">
        <x:v>0</x:v>
      </x:c>
      <x:c r="U220" s="19" t="n">
        <x:v>0</x:v>
      </x:c>
      <x:c r="V220" s="19" t="n">
        <x:v>0</x:v>
      </x:c>
      <x:c r="W220" s="19" t="n">
        <x:v>0</x:v>
      </x:c>
      <x:c r="X220" s="22" t="b">
        <x:v>0</x:v>
      </x:c>
      <x:c r="Y220" s="20" t="n">
        <x:v>0</x:v>
      </x:c>
      <x:c r="Z220" s="20" t="n">
        <x:v>0</x:v>
      </x:c>
      <x:c r="AA220" s="20" t="n">
        <x:v>0</x:v>
      </x:c>
      <x:c r="AB220" s="20" t="n">
        <x:v>2.113492</x:v>
      </x:c>
      <x:c r="AC220" s="20" t="n">
        <x:v>2</x:v>
      </x:c>
      <x:c r="AD220" s="20" t="n">
        <x:v>236.59311</x:v>
      </x:c>
      <x:c r="AE220" s="20" t="n">
        <x:v>1260.683715</x:v>
      </x:c>
      <x:c r="AF220" s="18" t="str">
        <x:v>{"random_removal": 0.012376951446514694, "related_removal": 0.012489982966574187, "worst_removal": 0.011529215046068483}</x:v>
      </x:c>
      <x:c r="AG220" s="18" t="str">
        <x:v>{"greedy_insertion": 0.011529215046068483, "regret_2_insertion": 0.012782390594554183}</x:v>
      </x:c>
      <x:c r="AH220" s="18" t="str">
        <x:v>[["D0", "C30", "D0"], ["D0", "S15", "C64", "C85", "D0"], ["D0", "C12", "S5", "C100", "D0"]]</x:v>
      </x:c>
    </x:row>
    <x:row r="221">
      <x:c r="A221" s="18" t="str">
        <x:v>results/week6/ablation_no_local_search/alns_evrptw_summary.csv</x:v>
      </x:c>
      <x:c r="B221" s="18" t="str">
        <x:v>No_Local_Search</x:v>
      </x:c>
      <x:c r="C221" s="18" t="str">
        <x:v>ALNS_EVRPTW_FULL_RECHARGE</x:v>
      </x:c>
      <x:c r="D221" s="18" t="str">
        <x:v>c101C10</x:v>
      </x:c>
      <x:c r="E221" s="19" t="n">
        <x:v>64</x:v>
      </x:c>
      <x:c r="F221" s="18" t="str">
        <x:v>C</x:v>
      </x:c>
      <x:c r="G221" s="19" t="n">
        <x:v>10</x:v>
      </x:c>
      <x:c r="H221" s="18" t="n">
        <x:v>1</x:v>
      </x:c>
      <x:c r="I221" s="19" t="n">
        <x:v>3</x:v>
      </x:c>
      <x:c r="J221" s="20" t="n">
        <x:v>408.477828</x:v>
      </x:c>
      <x:c r="K221" s="20" t="n">
        <x:v>9.207973</x:v>
      </x:c>
      <x:c r="L221" s="19" t="n">
        <x:v>1000</x:v>
      </x:c>
      <x:c r="M221" s="19" t="n">
        <x:v>29</x:v>
      </x:c>
      <x:c r="N221" s="19" t="n">
        <x:v>888</x:v>
      </x:c>
      <x:c r="O221" s="19" t="n">
        <x:v>5</x:v>
      </x:c>
      <x:c r="P221" s="19" t="n">
        <x:v>878</x:v>
      </x:c>
      <x:c r="Q221" s="19" t="n">
        <x:v>5</x:v>
      </x:c>
      <x:c r="R221" s="21" t="n">
        <x:f>P221/L221</x:f>
        <x:v>0.878</x:v>
      </x:c>
      <x:c r="S221" s="18" t="str">
        <x:v>iteration_limit</x:v>
      </x:c>
      <x:c r="T221" s="22" t="b">
        <x:v>0</x:v>
      </x:c>
      <x:c r="U221" s="19" t="n">
        <x:v>0</x:v>
      </x:c>
      <x:c r="V221" s="19" t="n">
        <x:v>0</x:v>
      </x:c>
      <x:c r="W221" s="19" t="n">
        <x:v>0</x:v>
      </x:c>
      <x:c r="X221" s="22" t="b">
        <x:v>0</x:v>
      </x:c>
      <x:c r="Y221" s="20" t="n">
        <x:v>0</x:v>
      </x:c>
      <x:c r="Z221" s="20" t="n">
        <x:v>0</x:v>
      </x:c>
      <x:c r="AA221" s="20" t="n">
        <x:v>0</x:v>
      </x:c>
      <x:c r="AB221" s="20" t="n">
        <x:v>8.21048</x:v>
      </x:c>
      <x:c r="AC221" s="20" t="n">
        <x:v>5</x:v>
      </x:c>
      <x:c r="AD221" s="20" t="n">
        <x:v>900.952858</x:v>
      </x:c>
      <x:c r="AE221" s="20" t="n">
        <x:v>1191.11285</x:v>
      </x:c>
      <x:c r="AF221" s="18" t="str">
        <x:v>{"random_removal": 0.014122096302120763, "related_removal": 0.017645364709658853, "worst_removal": 0.011529215046068483}</x:v>
      </x:c>
      <x:c r="AG221" s="18" t="str">
        <x:v>{"greedy_insertion": 0.015244792030417453, "regret_2_insertion": 0.013515662831571693}</x:v>
      </x:c>
      <x:c r="AH221" s="18" t="str">
        <x:v>[["D0", "C98", "S1", "C78", "S1", "C89", "D0"], ["D0", "C96", "C95", "S3", "C4", "C100", "S3", "C13", "D0"], ["D0", "C27", "C54", "S16", "D0"]]</x:v>
      </x:c>
    </x:row>
    <x:row r="222">
      <x:c r="A222" s="18" t="str">
        <x:v>results/week6/ablation_no_local_search/alns_evrptw_summary.csv</x:v>
      </x:c>
      <x:c r="B222" s="18" t="str">
        <x:v>No_Local_Search</x:v>
      </x:c>
      <x:c r="C222" s="18" t="str">
        <x:v>ALNS_EVRPTW_FULL_RECHARGE</x:v>
      </x:c>
      <x:c r="D222" s="18" t="str">
        <x:v>c101C10</x:v>
      </x:c>
      <x:c r="E222" s="19" t="n">
        <x:v>65</x:v>
      </x:c>
      <x:c r="F222" s="18" t="str">
        <x:v>C</x:v>
      </x:c>
      <x:c r="G222" s="19" t="n">
        <x:v>10</x:v>
      </x:c>
      <x:c r="H222" s="18" t="n">
        <x:v>1</x:v>
      </x:c>
      <x:c r="I222" s="19" t="n">
        <x:v>3</x:v>
      </x:c>
      <x:c r="J222" s="20" t="n">
        <x:v>408.477828</x:v>
      </x:c>
      <x:c r="K222" s="20" t="n">
        <x:v>9.164041</x:v>
      </x:c>
      <x:c r="L222" s="19" t="n">
        <x:v>1000</x:v>
      </x:c>
      <x:c r="M222" s="19" t="n">
        <x:v>51</x:v>
      </x:c>
      <x:c r="N222" s="19" t="n">
        <x:v>909</x:v>
      </x:c>
      <x:c r="O222" s="19" t="n">
        <x:v>1</x:v>
      </x:c>
      <x:c r="P222" s="19" t="n">
        <x:v>907</x:v>
      </x:c>
      <x:c r="Q222" s="19" t="n">
        <x:v>1</x:v>
      </x:c>
      <x:c r="R222" s="21" t="n">
        <x:f>P222/L222</x:f>
        <x:v>0.907</x:v>
      </x:c>
      <x:c r="S222" s="18" t="str">
        <x:v>iteration_limit</x:v>
      </x:c>
      <x:c r="T222" s="22" t="b">
        <x:v>0</x:v>
      </x:c>
      <x:c r="U222" s="19" t="n">
        <x:v>0</x:v>
      </x:c>
      <x:c r="V222" s="19" t="n">
        <x:v>0</x:v>
      </x:c>
      <x:c r="W222" s="19" t="n">
        <x:v>0</x:v>
      </x:c>
      <x:c r="X222" s="22" t="b">
        <x:v>0</x:v>
      </x:c>
      <x:c r="Y222" s="20" t="n">
        <x:v>0</x:v>
      </x:c>
      <x:c r="Z222" s="20" t="n">
        <x:v>0</x:v>
      </x:c>
      <x:c r="AA222" s="20" t="n">
        <x:v>0</x:v>
      </x:c>
      <x:c r="AB222" s="20" t="n">
        <x:v>8.21048</x:v>
      </x:c>
      <x:c r="AC222" s="20" t="n">
        <x:v>5</x:v>
      </x:c>
      <x:c r="AD222" s="20" t="n">
        <x:v>900.952858</x:v>
      </x:c>
      <x:c r="AE222" s="20" t="n">
        <x:v>1191.11285</x:v>
      </x:c>
      <x:c r="AF222" s="18" t="str">
        <x:v>{"random_removal": 0.011529215046068483, "related_removal": 0.01263581381165095, "worst_removal": 0.011529215046068483}</x:v>
      </x:c>
      <x:c r="AG222" s="18" t="str">
        <x:v>{"greedy_insertion": 0.01253115873459586, "regret_2_insertion": 0.011529215046068483}</x:v>
      </x:c>
      <x:c r="AH222" s="18" t="str">
        <x:v>[["D0", "C98", "S1", "C78", "S1", "C89", "D0"], ["D0", "C96", "C95", "S3", "C4", "C100", "S3", "C13", "D0"], ["D0", "C27", "C54", "S16", "D0"]]</x:v>
      </x:c>
    </x:row>
    <x:row r="223">
      <x:c r="A223" s="18" t="str">
        <x:v>results/week6/ablation_no_local_search/alns_evrptw_summary.csv</x:v>
      </x:c>
      <x:c r="B223" s="18" t="str">
        <x:v>No_Local_Search</x:v>
      </x:c>
      <x:c r="C223" s="18" t="str">
        <x:v>ALNS_EVRPTW_FULL_RECHARGE</x:v>
      </x:c>
      <x:c r="D223" s="18" t="str">
        <x:v>c101C10</x:v>
      </x:c>
      <x:c r="E223" s="19" t="n">
        <x:v>66</x:v>
      </x:c>
      <x:c r="F223" s="18" t="str">
        <x:v>C</x:v>
      </x:c>
      <x:c r="G223" s="19" t="n">
        <x:v>10</x:v>
      </x:c>
      <x:c r="H223" s="18" t="n">
        <x:v>1</x:v>
      </x:c>
      <x:c r="I223" s="19" t="n">
        <x:v>3</x:v>
      </x:c>
      <x:c r="J223" s="20" t="n">
        <x:v>408.477828</x:v>
      </x:c>
      <x:c r="K223" s="20" t="n">
        <x:v>9.266305</x:v>
      </x:c>
      <x:c r="L223" s="19" t="n">
        <x:v>1000</x:v>
      </x:c>
      <x:c r="M223" s="19" t="n">
        <x:v>244</x:v>
      </x:c>
      <x:c r="N223" s="19" t="n">
        <x:v>891</x:v>
      </x:c>
      <x:c r="O223" s="19" t="n">
        <x:v>6</x:v>
      </x:c>
      <x:c r="P223" s="19" t="n">
        <x:v>879</x:v>
      </x:c>
      <x:c r="Q223" s="19" t="n">
        <x:v>6</x:v>
      </x:c>
      <x:c r="R223" s="21" t="n">
        <x:f>P223/L223</x:f>
        <x:v>0.879</x:v>
      </x:c>
      <x:c r="S223" s="18" t="str">
        <x:v>iteration_limit</x:v>
      </x:c>
      <x:c r="T223" s="22" t="b">
        <x:v>0</x:v>
      </x:c>
      <x:c r="U223" s="19" t="n">
        <x:v>0</x:v>
      </x:c>
      <x:c r="V223" s="19" t="n">
        <x:v>0</x:v>
      </x:c>
      <x:c r="W223" s="19" t="n">
        <x:v>0</x:v>
      </x:c>
      <x:c r="X223" s="22" t="b">
        <x:v>0</x:v>
      </x:c>
      <x:c r="Y223" s="20" t="n">
        <x:v>0</x:v>
      </x:c>
      <x:c r="Z223" s="20" t="n">
        <x:v>0</x:v>
      </x:c>
      <x:c r="AA223" s="20" t="n">
        <x:v>0</x:v>
      </x:c>
      <x:c r="AB223" s="20" t="n">
        <x:v>8.21048</x:v>
      </x:c>
      <x:c r="AC223" s="20" t="n">
        <x:v>5</x:v>
      </x:c>
      <x:c r="AD223" s="20" t="n">
        <x:v>900.952858</x:v>
      </x:c>
      <x:c r="AE223" s="20" t="n">
        <x:v>1191.11285</x:v>
      </x:c>
      <x:c r="AF223" s="18" t="str">
        <x:v>{"random_removal": 0.013911633966593319, "related_removal": 0.017478602612637485, "worst_removal": 0.011529215046068483}</x:v>
      </x:c>
      <x:c r="AG223" s="18" t="str">
        <x:v>{"greedy_insertion": 0.014730297207522756, "regret_2_insertion": 0.014221736140244814}</x:v>
      </x:c>
      <x:c r="AH223" s="18" t="str">
        <x:v>[["D0", "C98", "S1", "C78", "S1", "C89", "D0"], ["D0", "C96", "C95", "S3", "C4", "C100", "S3", "C13", "D0"], ["D0", "C27", "C54", "S16", "D0"]]</x:v>
      </x:c>
    </x:row>
    <x:row r="224">
      <x:c r="A224" s="18" t="str">
        <x:v>results/week6/ablation_no_local_search/alns_evrptw_summary.csv</x:v>
      </x:c>
      <x:c r="B224" s="18" t="str">
        <x:v>No_Local_Search</x:v>
      </x:c>
      <x:c r="C224" s="18" t="str">
        <x:v>ALNS_EVRPTW_FULL_RECHARGE</x:v>
      </x:c>
      <x:c r="D224" s="18" t="str">
        <x:v>c103C15</x:v>
      </x:c>
      <x:c r="E224" s="19" t="n">
        <x:v>64</x:v>
      </x:c>
      <x:c r="F224" s="18" t="str">
        <x:v>C</x:v>
      </x:c>
      <x:c r="G224" s="19" t="n">
        <x:v>15</x:v>
      </x:c>
      <x:c r="H224" s="18" t="n">
        <x:v>1</x:v>
      </x:c>
      <x:c r="I224" s="19" t="n">
        <x:v>3</x:v>
      </x:c>
      <x:c r="J224" s="20" t="n">
        <x:v>392.977769</x:v>
      </x:c>
      <x:c r="K224" s="20" t="n">
        <x:v>38.77875</x:v>
      </x:c>
      <x:c r="L224" s="19" t="n">
        <x:v>1000</x:v>
      </x:c>
      <x:c r="M224" s="19" t="n">
        <x:v>0</x:v>
      </x:c>
      <x:c r="N224" s="19" t="n">
        <x:v>922</x:v>
      </x:c>
      <x:c r="O224" s="19" t="n">
        <x:v>24</x:v>
      </x:c>
      <x:c r="P224" s="19" t="n">
        <x:v>874</x:v>
      </x:c>
      <x:c r="Q224" s="19" t="n">
        <x:v>24</x:v>
      </x:c>
      <x:c r="R224" s="21" t="n">
        <x:f>P224/L224</x:f>
        <x:v>0.874</x:v>
      </x:c>
      <x:c r="S224" s="18" t="str">
        <x:v>iteration_limit</x:v>
      </x:c>
      <x:c r="T224" s="22" t="b">
        <x:v>0</x:v>
      </x:c>
      <x:c r="U224" s="19" t="n">
        <x:v>0</x:v>
      </x:c>
      <x:c r="V224" s="19" t="n">
        <x:v>0</x:v>
      </x:c>
      <x:c r="W224" s="19" t="n">
        <x:v>0</x:v>
      </x:c>
      <x:c r="X224" s="22" t="b">
        <x:v>0</x:v>
      </x:c>
      <x:c r="Y224" s="20" t="n">
        <x:v>0</x:v>
      </x:c>
      <x:c r="Z224" s="20" t="n">
        <x:v>0</x:v>
      </x:c>
      <x:c r="AA224" s="20" t="n">
        <x:v>0</x:v>
      </x:c>
      <x:c r="AB224" s="20" t="n">
        <x:v>1.327451</x:v>
      </x:c>
      <x:c r="AC224" s="20" t="n">
        <x:v>4</x:v>
      </x:c>
      <x:c r="AD224" s="20" t="n">
        <x:v>748.055391</x:v>
      </x:c>
      <x:c r="AE224" s="20" t="n">
        <x:v>1088.375049</x:v>
      </x:c>
      <x:c r="AF224" s="18" t="str">
        <x:v>{"random_removal": 0.080495860770929, "related_removal": 0.04412199598838081, "worst_removal": 0.011529215046068483}</x:v>
      </x:c>
      <x:c r="AG224" s="18" t="str">
        <x:v>{"greedy_insertion": 0.050306070901208394, "regret_2_insertion": 0.06446798356823256}</x:v>
      </x:c>
      <x:c r="AH224" s="18" t="str">
        <x:v>[["D0", "C59", "C40", "S15", "C61", "C85", "D0"], ["D0", "C30", "C33", "C35", "S13", "C50", "C44", "D0"], ["D0", "C98", "C95", "S3", "C18", "C19", "S7", "C10", "C13", "D0"]]</x:v>
      </x:c>
    </x:row>
    <x:row r="225">
      <x:c r="A225" s="18" t="str">
        <x:v>results/week6/ablation_no_local_search/alns_evrptw_summary.csv</x:v>
      </x:c>
      <x:c r="B225" s="18" t="str">
        <x:v>No_Local_Search</x:v>
      </x:c>
      <x:c r="C225" s="18" t="str">
        <x:v>ALNS_EVRPTW_FULL_RECHARGE</x:v>
      </x:c>
      <x:c r="D225" s="18" t="str">
        <x:v>c103C15</x:v>
      </x:c>
      <x:c r="E225" s="19" t="n">
        <x:v>65</x:v>
      </x:c>
      <x:c r="F225" s="18" t="str">
        <x:v>C</x:v>
      </x:c>
      <x:c r="G225" s="19" t="n">
        <x:v>15</x:v>
      </x:c>
      <x:c r="H225" s="18" t="n">
        <x:v>1</x:v>
      </x:c>
      <x:c r="I225" s="19" t="n">
        <x:v>3</x:v>
      </x:c>
      <x:c r="J225" s="20" t="n">
        <x:v>392.977769</x:v>
      </x:c>
      <x:c r="K225" s="20" t="n">
        <x:v>39.101462</x:v>
      </x:c>
      <x:c r="L225" s="19" t="n">
        <x:v>1000</x:v>
      </x:c>
      <x:c r="M225" s="19" t="n">
        <x:v>0</x:v>
      </x:c>
      <x:c r="N225" s="19" t="n">
        <x:v>909</x:v>
      </x:c>
      <x:c r="O225" s="19" t="n">
        <x:v>25</x:v>
      </x:c>
      <x:c r="P225" s="19" t="n">
        <x:v>859</x:v>
      </x:c>
      <x:c r="Q225" s="19" t="n">
        <x:v>25</x:v>
      </x:c>
      <x:c r="R225" s="21" t="n">
        <x:f>P225/L225</x:f>
        <x:v>0.859</x:v>
      </x:c>
      <x:c r="S225" s="18" t="str">
        <x:v>iteration_limit</x:v>
      </x:c>
      <x:c r="T225" s="22" t="b">
        <x:v>0</x:v>
      </x:c>
      <x:c r="U225" s="19" t="n">
        <x:v>0</x:v>
      </x:c>
      <x:c r="V225" s="19" t="n">
        <x:v>0</x:v>
      </x:c>
      <x:c r="W225" s="19" t="n">
        <x:v>0</x:v>
      </x:c>
      <x:c r="X225" s="22" t="b">
        <x:v>0</x:v>
      </x:c>
      <x:c r="Y225" s="20" t="n">
        <x:v>0</x:v>
      </x:c>
      <x:c r="Z225" s="20" t="n">
        <x:v>0</x:v>
      </x:c>
      <x:c r="AA225" s="20" t="n">
        <x:v>0</x:v>
      </x:c>
      <x:c r="AB225" s="20" t="n">
        <x:v>1.327451</x:v>
      </x:c>
      <x:c r="AC225" s="20" t="n">
        <x:v>4</x:v>
      </x:c>
      <x:c r="AD225" s="20" t="n">
        <x:v>748.055391</x:v>
      </x:c>
      <x:c r="AE225" s="20" t="n">
        <x:v>1088.375049</x:v>
      </x:c>
      <x:c r="AF225" s="18" t="str">
        <x:v>{"random_removal": 0.06765778361186928, "related_removal": 0.04159036473089082, "worst_removal": 0.011529215046068483}</x:v>
      </x:c>
      <x:c r="AG225" s="18" t="str">
        <x:v>{"greedy_insertion": 0.04073853513459373, "regret_2_insertion": 0.05485100639151072}</x:v>
      </x:c>
      <x:c r="AH225" s="18" t="str">
        <x:v>[["D0", "C59", "C40", "S15", "C61", "C85", "D0"], ["D0", "C30", "C33", "C35", "S13", "C50", "C44", "D0"], ["D0", "C98", "C95", "S3", "C18", "C19", "S7", "C10", "C13", "D0"]]</x:v>
      </x:c>
    </x:row>
    <x:row r="226">
      <x:c r="A226" s="18" t="str">
        <x:v>results/week6/ablation_no_local_search/alns_evrptw_summary.csv</x:v>
      </x:c>
      <x:c r="B226" s="18" t="str">
        <x:v>No_Local_Search</x:v>
      </x:c>
      <x:c r="C226" s="18" t="str">
        <x:v>ALNS_EVRPTW_FULL_RECHARGE</x:v>
      </x:c>
      <x:c r="D226" s="18" t="str">
        <x:v>c103C15</x:v>
      </x:c>
      <x:c r="E226" s="19" t="n">
        <x:v>66</x:v>
      </x:c>
      <x:c r="F226" s="18" t="str">
        <x:v>C</x:v>
      </x:c>
      <x:c r="G226" s="19" t="n">
        <x:v>15</x:v>
      </x:c>
      <x:c r="H226" s="18" t="n">
        <x:v>1</x:v>
      </x:c>
      <x:c r="I226" s="19" t="n">
        <x:v>3</x:v>
      </x:c>
      <x:c r="J226" s="20" t="n">
        <x:v>392.977769</x:v>
      </x:c>
      <x:c r="K226" s="20" t="n">
        <x:v>38.966008</x:v>
      </x:c>
      <x:c r="L226" s="19" t="n">
        <x:v>1000</x:v>
      </x:c>
      <x:c r="M226" s="19" t="n">
        <x:v>0</x:v>
      </x:c>
      <x:c r="N226" s="19" t="n">
        <x:v>914</x:v>
      </x:c>
      <x:c r="O226" s="19" t="n">
        <x:v>22</x:v>
      </x:c>
      <x:c r="P226" s="19" t="n">
        <x:v>870</x:v>
      </x:c>
      <x:c r="Q226" s="19" t="n">
        <x:v>22</x:v>
      </x:c>
      <x:c r="R226" s="21" t="n">
        <x:f>P226/L226</x:f>
        <x:v>0.87</x:v>
      </x:c>
      <x:c r="S226" s="18" t="str">
        <x:v>iteration_limit</x:v>
      </x:c>
      <x:c r="T226" s="22" t="b">
        <x:v>0</x:v>
      </x:c>
      <x:c r="U226" s="19" t="n">
        <x:v>0</x:v>
      </x:c>
      <x:c r="V226" s="19" t="n">
        <x:v>0</x:v>
      </x:c>
      <x:c r="W226" s="19" t="n">
        <x:v>0</x:v>
      </x:c>
      <x:c r="X226" s="22" t="b">
        <x:v>0</x:v>
      </x:c>
      <x:c r="Y226" s="20" t="n">
        <x:v>0</x:v>
      </x:c>
      <x:c r="Z226" s="20" t="n">
        <x:v>0</x:v>
      </x:c>
      <x:c r="AA226" s="20" t="n">
        <x:v>0</x:v>
      </x:c>
      <x:c r="AB226" s="20" t="n">
        <x:v>1.327451</x:v>
      </x:c>
      <x:c r="AC226" s="20" t="n">
        <x:v>4</x:v>
      </x:c>
      <x:c r="AD226" s="20" t="n">
        <x:v>748.055391</x:v>
      </x:c>
      <x:c r="AE226" s="20" t="n">
        <x:v>1088.375049</x:v>
      </x:c>
      <x:c r="AF226" s="18" t="str">
        <x:v>{"random_removal": 0.09650963749987307, "related_removal": 0.05227956346095039, "worst_removal": 0.011529215046068483}</x:v>
      </x:c>
      <x:c r="AG226" s="18" t="str">
        <x:v>{"greedy_insertion": 0.05546687614665838, "regret_2_insertion": 0.07596225819498677}</x:v>
      </x:c>
      <x:c r="AH226" s="18" t="str">
        <x:v>[["D0", "C59", "C40", "S15", "C61", "C85", "D0"], ["D0", "C30", "C33", "C35", "S13", "C50", "C44", "D0"], ["D0", "C98", "C95", "S3", "C18", "C19", "S7", "C10", "C13", "D0"]]</x:v>
      </x:c>
    </x:row>
    <x:row r="227">
      <x:c r="A227" s="18" t="str">
        <x:v>results/week6/ablation_no_local_search/alns_evrptw_summary.csv</x:v>
      </x:c>
      <x:c r="B227" s="18" t="str">
        <x:v>No_Local_Search</x:v>
      </x:c>
      <x:c r="C227" s="18" t="str">
        <x:v>ALNS_EVRPTW_FULL_RECHARGE</x:v>
      </x:c>
      <x:c r="D227" s="18" t="str">
        <x:v>c206C5</x:v>
      </x:c>
      <x:c r="E227" s="19" t="n">
        <x:v>64</x:v>
      </x:c>
      <x:c r="F227" s="18" t="str">
        <x:v>C</x:v>
      </x:c>
      <x:c r="G227" s="19" t="n">
        <x:v>5</x:v>
      </x:c>
      <x:c r="H227" s="18" t="n">
        <x:v>1</x:v>
      </x:c>
      <x:c r="I227" s="19" t="n">
        <x:v>1</x:v>
      </x:c>
      <x:c r="J227" s="20" t="n">
        <x:v>242.555652</x:v>
      </x:c>
      <x:c r="K227" s="20" t="n">
        <x:v>0.945145</x:v>
      </x:c>
      <x:c r="L227" s="19" t="n">
        <x:v>1000</x:v>
      </x:c>
      <x:c r="M227" s="19" t="n">
        <x:v>0</x:v>
      </x:c>
      <x:c r="N227" s="19" t="n">
        <x:v>1000</x:v>
      </x:c>
      <x:c r="O227" s="19" t="n">
        <x:v>0</x:v>
      </x:c>
      <x:c r="P227" s="19" t="n">
        <x:v>1000</x:v>
      </x:c>
      <x:c r="Q227" s="19" t="n">
        <x:v>0</x:v>
      </x:c>
      <x:c r="R227" s="21" t="n">
        <x:f>P227/L227</x:f>
        <x:v>1</x:v>
      </x:c>
      <x:c r="S227" s="18" t="str">
        <x:v>iteration_limit</x:v>
      </x:c>
      <x:c r="T227" s="22" t="b">
        <x:v>0</x:v>
      </x:c>
      <x:c r="U227" s="19" t="n">
        <x:v>0</x:v>
      </x:c>
      <x:c r="V227" s="19" t="n">
        <x:v>0</x:v>
      </x:c>
      <x:c r="W227" s="19" t="n">
        <x:v>0</x:v>
      </x:c>
      <x:c r="X227" s="22" t="b">
        <x:v>0</x:v>
      </x:c>
      <x:c r="Y227" s="20" t="n">
        <x:v>0</x:v>
      </x:c>
      <x:c r="Z227" s="20" t="n">
        <x:v>0</x:v>
      </x:c>
      <x:c r="AA227" s="20" t="n">
        <x:v>0</x:v>
      </x:c>
      <x:c r="AB227" s="20" t="n">
        <x:v>1.592269</x:v>
      </x:c>
      <x:c r="AC227" s="20" t="n">
        <x:v>3</x:v>
      </x:c>
      <x:c r="AD227" s="20" t="n">
        <x:v>577.400785</x:v>
      </x:c>
      <x:c r="AE227" s="20" t="n">
        <x:v>1070.388466</x:v>
      </x:c>
      <x:c r="AF227" s="18" t="str">
        <x:v>{"random_removal": 0.011529215046068483, "related_removal": 0.011529215046068483, "worst_removal": 0.011529215046068483}</x:v>
      </x:c>
      <x:c r="AG227" s="18" t="str">
        <x:v>{"greedy_insertion": 0.011529215046068483, "regret_2_insertion": 0.011529215046068483}</x:v>
      </x:c>
      <x:c r="AH227" s="18" t="str">
        <x:v>[["D0", "C75", "S0", "C44", "C53", "S17", "C77", "S0", "C35", "D0"]]</x:v>
      </x:c>
    </x:row>
    <x:row r="228">
      <x:c r="A228" s="18" t="str">
        <x:v>results/week6/ablation_no_local_search/alns_evrptw_summary.csv</x:v>
      </x:c>
      <x:c r="B228" s="18" t="str">
        <x:v>No_Local_Search</x:v>
      </x:c>
      <x:c r="C228" s="18" t="str">
        <x:v>ALNS_EVRPTW_FULL_RECHARGE</x:v>
      </x:c>
      <x:c r="D228" s="18" t="str">
        <x:v>c206C5</x:v>
      </x:c>
      <x:c r="E228" s="19" t="n">
        <x:v>65</x:v>
      </x:c>
      <x:c r="F228" s="18" t="str">
        <x:v>C</x:v>
      </x:c>
      <x:c r="G228" s="19" t="n">
        <x:v>5</x:v>
      </x:c>
      <x:c r="H228" s="18" t="n">
        <x:v>1</x:v>
      </x:c>
      <x:c r="I228" s="19" t="n">
        <x:v>1</x:v>
      </x:c>
      <x:c r="J228" s="20" t="n">
        <x:v>242.555652</x:v>
      </x:c>
      <x:c r="K228" s="20" t="n">
        <x:v>0.940894</x:v>
      </x:c>
      <x:c r="L228" s="19" t="n">
        <x:v>1000</x:v>
      </x:c>
      <x:c r="M228" s="19" t="n">
        <x:v>0</x:v>
      </x:c>
      <x:c r="N228" s="19" t="n">
        <x:v>1000</x:v>
      </x:c>
      <x:c r="O228" s="19" t="n">
        <x:v>0</x:v>
      </x:c>
      <x:c r="P228" s="19" t="n">
        <x:v>1000</x:v>
      </x:c>
      <x:c r="Q228" s="19" t="n">
        <x:v>0</x:v>
      </x:c>
      <x:c r="R228" s="21" t="n">
        <x:f>P228/L228</x:f>
        <x:v>1</x:v>
      </x:c>
      <x:c r="S228" s="18" t="str">
        <x:v>iteration_limit</x:v>
      </x:c>
      <x:c r="T228" s="22" t="b">
        <x:v>0</x:v>
      </x:c>
      <x:c r="U228" s="19" t="n">
        <x:v>0</x:v>
      </x:c>
      <x:c r="V228" s="19" t="n">
        <x:v>0</x:v>
      </x:c>
      <x:c r="W228" s="19" t="n">
        <x:v>0</x:v>
      </x:c>
      <x:c r="X228" s="22" t="b">
        <x:v>0</x:v>
      </x:c>
      <x:c r="Y228" s="20" t="n">
        <x:v>0</x:v>
      </x:c>
      <x:c r="Z228" s="20" t="n">
        <x:v>0</x:v>
      </x:c>
      <x:c r="AA228" s="20" t="n">
        <x:v>0</x:v>
      </x:c>
      <x:c r="AB228" s="20" t="n">
        <x:v>1.592269</x:v>
      </x:c>
      <x:c r="AC228" s="20" t="n">
        <x:v>3</x:v>
      </x:c>
      <x:c r="AD228" s="20" t="n">
        <x:v>577.400785</x:v>
      </x:c>
      <x:c r="AE228" s="20" t="n">
        <x:v>1070.388466</x:v>
      </x:c>
      <x:c r="AF228" s="18" t="str">
        <x:v>{"random_removal": 0.011529215046068483, "related_removal": 0.011529215046068483, "worst_removal": 0.011529215046068483}</x:v>
      </x:c>
      <x:c r="AG228" s="18" t="str">
        <x:v>{"greedy_insertion": 0.011529215046068483, "regret_2_insertion": 0.011529215046068483}</x:v>
      </x:c>
      <x:c r="AH228" s="18" t="str">
        <x:v>[["D0", "C75", "S0", "C44", "C53", "S17", "C77", "S0", "C35", "D0"]]</x:v>
      </x:c>
    </x:row>
    <x:row r="229">
      <x:c r="A229" s="18" t="str">
        <x:v>results/week6/ablation_no_local_search/alns_evrptw_summary.csv</x:v>
      </x:c>
      <x:c r="B229" s="18" t="str">
        <x:v>No_Local_Search</x:v>
      </x:c>
      <x:c r="C229" s="18" t="str">
        <x:v>ALNS_EVRPTW_FULL_RECHARGE</x:v>
      </x:c>
      <x:c r="D229" s="18" t="str">
        <x:v>c206C5</x:v>
      </x:c>
      <x:c r="E229" s="19" t="n">
        <x:v>66</x:v>
      </x:c>
      <x:c r="F229" s="18" t="str">
        <x:v>C</x:v>
      </x:c>
      <x:c r="G229" s="19" t="n">
        <x:v>5</x:v>
      </x:c>
      <x:c r="H229" s="18" t="n">
        <x:v>1</x:v>
      </x:c>
      <x:c r="I229" s="19" t="n">
        <x:v>1</x:v>
      </x:c>
      <x:c r="J229" s="20" t="n">
        <x:v>242.555652</x:v>
      </x:c>
      <x:c r="K229" s="20" t="n">
        <x:v>0.98835</x:v>
      </x:c>
      <x:c r="L229" s="19" t="n">
        <x:v>1000</x:v>
      </x:c>
      <x:c r="M229" s="19" t="n">
        <x:v>0</x:v>
      </x:c>
      <x:c r="N229" s="19" t="n">
        <x:v>1000</x:v>
      </x:c>
      <x:c r="O229" s="19" t="n">
        <x:v>0</x:v>
      </x:c>
      <x:c r="P229" s="19" t="n">
        <x:v>1000</x:v>
      </x:c>
      <x:c r="Q229" s="19" t="n">
        <x:v>0</x:v>
      </x:c>
      <x:c r="R229" s="21" t="n">
        <x:f>P229/L229</x:f>
        <x:v>1</x:v>
      </x:c>
      <x:c r="S229" s="18" t="str">
        <x:v>iteration_limit</x:v>
      </x:c>
      <x:c r="T229" s="22" t="b">
        <x:v>0</x:v>
      </x:c>
      <x:c r="U229" s="19" t="n">
        <x:v>0</x:v>
      </x:c>
      <x:c r="V229" s="19" t="n">
        <x:v>0</x:v>
      </x:c>
      <x:c r="W229" s="19" t="n">
        <x:v>0</x:v>
      </x:c>
      <x:c r="X229" s="22" t="b">
        <x:v>0</x:v>
      </x:c>
      <x:c r="Y229" s="20" t="n">
        <x:v>0</x:v>
      </x:c>
      <x:c r="Z229" s="20" t="n">
        <x:v>0</x:v>
      </x:c>
      <x:c r="AA229" s="20" t="n">
        <x:v>0</x:v>
      </x:c>
      <x:c r="AB229" s="20" t="n">
        <x:v>1.592269</x:v>
      </x:c>
      <x:c r="AC229" s="20" t="n">
        <x:v>3</x:v>
      </x:c>
      <x:c r="AD229" s="20" t="n">
        <x:v>577.400785</x:v>
      </x:c>
      <x:c r="AE229" s="20" t="n">
        <x:v>1070.388466</x:v>
      </x:c>
      <x:c r="AF229" s="18" t="str">
        <x:v>{"random_removal": 0.011529215046068483, "related_removal": 0.011529215046068483, "worst_removal": 0.011529215046068483}</x:v>
      </x:c>
      <x:c r="AG229" s="18" t="str">
        <x:v>{"greedy_insertion": 0.011529215046068483, "regret_2_insertion": 0.011529215046068483}</x:v>
      </x:c>
      <x:c r="AH229" s="18" t="str">
        <x:v>[["D0", "C75", "S0", "C44", "C53", "S17", "C77", "S0", "C35", "D0"]]</x:v>
      </x:c>
    </x:row>
    <x:row r="230">
      <x:c r="A230" s="18" t="str">
        <x:v>results/week6/ablation_no_local_search/alns_evrptw_summary.csv</x:v>
      </x:c>
      <x:c r="B230" s="18" t="str">
        <x:v>No_Local_Search</x:v>
      </x:c>
      <x:c r="C230" s="18" t="str">
        <x:v>ALNS_EVRPTW_FULL_RECHARGE</x:v>
      </x:c>
      <x:c r="D230" s="18" t="str">
        <x:v>c202C10</x:v>
      </x:c>
      <x:c r="E230" s="19" t="n">
        <x:v>64</x:v>
      </x:c>
      <x:c r="F230" s="18" t="str">
        <x:v>C</x:v>
      </x:c>
      <x:c r="G230" s="19" t="n">
        <x:v>10</x:v>
      </x:c>
      <x:c r="H230" s="18" t="n">
        <x:v>1</x:v>
      </x:c>
      <x:c r="I230" s="19" t="n">
        <x:v>1</x:v>
      </x:c>
      <x:c r="J230" s="20" t="n">
        <x:v>304.058332</x:v>
      </x:c>
      <x:c r="K230" s="20" t="n">
        <x:v>13.683189</x:v>
      </x:c>
      <x:c r="L230" s="19" t="n">
        <x:v>1000</x:v>
      </x:c>
      <x:c r="M230" s="19" t="n">
        <x:v>2</x:v>
      </x:c>
      <x:c r="N230" s="19" t="n">
        <x:v>1000</x:v>
      </x:c>
      <x:c r="O230" s="19" t="n">
        <x:v>1</x:v>
      </x:c>
      <x:c r="P230" s="19" t="n">
        <x:v>999</x:v>
      </x:c>
      <x:c r="Q230" s="19" t="n">
        <x:v>0</x:v>
      </x:c>
      <x:c r="R230" s="21" t="n">
        <x:f>P230/L230</x:f>
        <x:v>0.999</x:v>
      </x:c>
      <x:c r="S230" s="18" t="str">
        <x:v>iteration_limit</x:v>
      </x:c>
      <x:c r="T230" s="22" t="b">
        <x:v>0</x:v>
      </x:c>
      <x:c r="U230" s="19" t="n">
        <x:v>0</x:v>
      </x:c>
      <x:c r="V230" s="19" t="n">
        <x:v>0</x:v>
      </x:c>
      <x:c r="W230" s="19" t="n">
        <x:v>0</x:v>
      </x:c>
      <x:c r="X230" s="22" t="b">
        <x:v>0</x:v>
      </x:c>
      <x:c r="Y230" s="20" t="n">
        <x:v>0</x:v>
      </x:c>
      <x:c r="Z230" s="20" t="n">
        <x:v>0</x:v>
      </x:c>
      <x:c r="AA230" s="20" t="n">
        <x:v>0</x:v>
      </x:c>
      <x:c r="AB230" s="20" t="n">
        <x:v>9.470097</x:v>
      </x:c>
      <x:c r="AC230" s="20" t="n">
        <x:v>5</x:v>
      </x:c>
      <x:c r="AD230" s="20" t="n">
        <x:v>896.598704</x:v>
      </x:c>
      <x:c r="AE230" s="20" t="n">
        <x:v>929.342963</x:v>
      </x:c>
      <x:c r="AF230" s="18" t="str">
        <x:v>{"random_removal": 0.011529215046068483, "related_removal": 0.012287716035941407, "worst_removal": 0.011529215046068483}</x:v>
      </x:c>
      <x:c r="AG230" s="18" t="str">
        <x:v>{"greedy_insertion": 0.01210567579837191, "regret_2_insertion": 0.011529215046068483}</x:v>
      </x:c>
      <x:c r="AH230" s="18" t="str">
        <x:v>[["D0", "C8", "C10", "S1", "C84", "C16", "S7", "C25", "S0", "C96", "S15", "C57", "S13", "C6", "C30", "C24", "D0"]]</x:v>
      </x:c>
    </x:row>
    <x:row r="231">
      <x:c r="A231" s="18" t="str">
        <x:v>results/week6/ablation_no_local_search/alns_evrptw_summary.csv</x:v>
      </x:c>
      <x:c r="B231" s="18" t="str">
        <x:v>No_Local_Search</x:v>
      </x:c>
      <x:c r="C231" s="18" t="str">
        <x:v>ALNS_EVRPTW_FULL_RECHARGE</x:v>
      </x:c>
      <x:c r="D231" s="18" t="str">
        <x:v>c202C10</x:v>
      </x:c>
      <x:c r="E231" s="19" t="n">
        <x:v>65</x:v>
      </x:c>
      <x:c r="F231" s="18" t="str">
        <x:v>C</x:v>
      </x:c>
      <x:c r="G231" s="19" t="n">
        <x:v>10</x:v>
      </x:c>
      <x:c r="H231" s="18" t="n">
        <x:v>1</x:v>
      </x:c>
      <x:c r="I231" s="19" t="n">
        <x:v>1</x:v>
      </x:c>
      <x:c r="J231" s="20" t="n">
        <x:v>304.058332</x:v>
      </x:c>
      <x:c r="K231" s="20" t="n">
        <x:v>13.667801</x:v>
      </x:c>
      <x:c r="L231" s="19" t="n">
        <x:v>1000</x:v>
      </x:c>
      <x:c r="M231" s="19" t="n">
        <x:v>2</x:v>
      </x:c>
      <x:c r="N231" s="19" t="n">
        <x:v>1000</x:v>
      </x:c>
      <x:c r="O231" s="19" t="n">
        <x:v>1</x:v>
      </x:c>
      <x:c r="P231" s="19" t="n">
        <x:v>999</x:v>
      </x:c>
      <x:c r="Q231" s="19" t="n">
        <x:v>0</x:v>
      </x:c>
      <x:c r="R231" s="21" t="n">
        <x:f>P231/L231</x:f>
        <x:v>0.999</x:v>
      </x:c>
      <x:c r="S231" s="18" t="str">
        <x:v>iteration_limit</x:v>
      </x:c>
      <x:c r="T231" s="22" t="b">
        <x:v>0</x:v>
      </x:c>
      <x:c r="U231" s="19" t="n">
        <x:v>0</x:v>
      </x:c>
      <x:c r="V231" s="19" t="n">
        <x:v>0</x:v>
      </x:c>
      <x:c r="W231" s="19" t="n">
        <x:v>0</x:v>
      </x:c>
      <x:c r="X231" s="22" t="b">
        <x:v>0</x:v>
      </x:c>
      <x:c r="Y231" s="20" t="n">
        <x:v>0</x:v>
      </x:c>
      <x:c r="Z231" s="20" t="n">
        <x:v>0</x:v>
      </x:c>
      <x:c r="AA231" s="20" t="n">
        <x:v>0</x:v>
      </x:c>
      <x:c r="AB231" s="20" t="n">
        <x:v>9.470097</x:v>
      </x:c>
      <x:c r="AC231" s="20" t="n">
        <x:v>5</x:v>
      </x:c>
      <x:c r="AD231" s="20" t="n">
        <x:v>896.598704</x:v>
      </x:c>
      <x:c r="AE231" s="20" t="n">
        <x:v>929.342963</x:v>
      </x:c>
      <x:c r="AF231" s="18" t="str">
        <x:v>{"random_removal": 0.012287716035941407, "related_removal": 0.011529215046068483, "worst_removal": 0.011529215046068483}</x:v>
      </x:c>
      <x:c r="AG231" s="18" t="str">
        <x:v>{"greedy_insertion": 0.011529215046068483, "regret_2_insertion": 0.012026163970467983}</x:v>
      </x:c>
      <x:c r="AH231" s="18" t="str">
        <x:v>[["D0", "C8", "C10", "S1", "C84", "C16", "S7", "C25", "S0", "C96", "S15", "C57", "S13", "C6", "C30", "C24", "D0"]]</x:v>
      </x:c>
    </x:row>
    <x:row r="232">
      <x:c r="A232" s="18" t="str">
        <x:v>results/week6/ablation_no_local_search/alns_evrptw_summary.csv</x:v>
      </x:c>
      <x:c r="B232" s="18" t="str">
        <x:v>No_Local_Search</x:v>
      </x:c>
      <x:c r="C232" s="18" t="str">
        <x:v>ALNS_EVRPTW_FULL_RECHARGE</x:v>
      </x:c>
      <x:c r="D232" s="18" t="str">
        <x:v>c202C10</x:v>
      </x:c>
      <x:c r="E232" s="19" t="n">
        <x:v>66</x:v>
      </x:c>
      <x:c r="F232" s="18" t="str">
        <x:v>C</x:v>
      </x:c>
      <x:c r="G232" s="19" t="n">
        <x:v>10</x:v>
      </x:c>
      <x:c r="H232" s="18" t="n">
        <x:v>1</x:v>
      </x:c>
      <x:c r="I232" s="19" t="n">
        <x:v>1</x:v>
      </x:c>
      <x:c r="J232" s="20" t="n">
        <x:v>304.058332</x:v>
      </x:c>
      <x:c r="K232" s="20" t="n">
        <x:v>13.716127</x:v>
      </x:c>
      <x:c r="L232" s="19" t="n">
        <x:v>1000</x:v>
      </x:c>
      <x:c r="M232" s="19" t="n">
        <x:v>11</x:v>
      </x:c>
      <x:c r="N232" s="19" t="n">
        <x:v>1000</x:v>
      </x:c>
      <x:c r="O232" s="19" t="n">
        <x:v>1</x:v>
      </x:c>
      <x:c r="P232" s="19" t="n">
        <x:v>999</x:v>
      </x:c>
      <x:c r="Q232" s="19" t="n">
        <x:v>0</x:v>
      </x:c>
      <x:c r="R232" s="21" t="n">
        <x:f>P232/L232</x:f>
        <x:v>0.999</x:v>
      </x:c>
      <x:c r="S232" s="18" t="str">
        <x:v>iteration_limit</x:v>
      </x:c>
      <x:c r="T232" s="22" t="b">
        <x:v>0</x:v>
      </x:c>
      <x:c r="U232" s="19" t="n">
        <x:v>0</x:v>
      </x:c>
      <x:c r="V232" s="19" t="n">
        <x:v>0</x:v>
      </x:c>
      <x:c r="W232" s="19" t="n">
        <x:v>0</x:v>
      </x:c>
      <x:c r="X232" s="22" t="b">
        <x:v>0</x:v>
      </x:c>
      <x:c r="Y232" s="20" t="n">
        <x:v>0</x:v>
      </x:c>
      <x:c r="Z232" s="20" t="n">
        <x:v>0</x:v>
      </x:c>
      <x:c r="AA232" s="20" t="n">
        <x:v>0</x:v>
      </x:c>
      <x:c r="AB232" s="20" t="n">
        <x:v>9.470097</x:v>
      </x:c>
      <x:c r="AC232" s="20" t="n">
        <x:v>5</x:v>
      </x:c>
      <x:c r="AD232" s="20" t="n">
        <x:v>896.598704</x:v>
      </x:c>
      <x:c r="AE232" s="20" t="n">
        <x:v>929.342963</x:v>
      </x:c>
      <x:c r="AF232" s="18" t="str">
        <x:v>{"random_removal": 0.011529215046068483, "related_removal": 0.012730174946700618, "worst_removal": 0.011529215046068483}</x:v>
      </x:c>
      <x:c r="AG232" s="18" t="str">
        <x:v>{"greedy_insertion": 0.011529215046068483, "regret_2_insertion": 0.012083504230975617}</x:v>
      </x:c>
      <x:c r="AH232" s="18" t="str">
        <x:v>[["D0", "C8", "C10", "S1", "C84", "C16", "S7", "C25", "S0", "C96", "S15", "C57", "S13", "C6", "C30", "C24", "D0"]]</x:v>
      </x:c>
    </x:row>
    <x:row r="233">
      <x:c r="A233" s="18" t="str">
        <x:v>results/week6/ablation_no_local_search/alns_evrptw_summary.csv</x:v>
      </x:c>
      <x:c r="B233" s="18" t="str">
        <x:v>No_Local_Search</x:v>
      </x:c>
      <x:c r="C233" s="18" t="str">
        <x:v>ALNS_EVRPTW_FULL_RECHARGE</x:v>
      </x:c>
      <x:c r="D233" s="18" t="str">
        <x:v>c202C15</x:v>
      </x:c>
      <x:c r="E233" s="19" t="n">
        <x:v>64</x:v>
      </x:c>
      <x:c r="F233" s="18" t="str">
        <x:v>C</x:v>
      </x:c>
      <x:c r="G233" s="19" t="n">
        <x:v>15</x:v>
      </x:c>
      <x:c r="H233" s="18" t="n">
        <x:v>1</x:v>
      </x:c>
      <x:c r="I233" s="19" t="n">
        <x:v>3</x:v>
      </x:c>
      <x:c r="J233" s="20" t="n">
        <x:v>376.789292</x:v>
      </x:c>
      <x:c r="K233" s="20" t="n">
        <x:v>53.956699</x:v>
      </x:c>
      <x:c r="L233" s="19" t="n">
        <x:v>1000</x:v>
      </x:c>
      <x:c r="M233" s="19" t="n">
        <x:v>15</x:v>
      </x:c>
      <x:c r="N233" s="19" t="n">
        <x:v>991</x:v>
      </x:c>
      <x:c r="O233" s="19" t="n">
        <x:v>10</x:v>
      </x:c>
      <x:c r="P233" s="19" t="n">
        <x:v>973</x:v>
      </x:c>
      <x:c r="Q233" s="19" t="n">
        <x:v>8</x:v>
      </x:c>
      <x:c r="R233" s="21" t="n">
        <x:f>P233/L233</x:f>
        <x:v>0.973</x:v>
      </x:c>
      <x:c r="S233" s="18" t="str">
        <x:v>iteration_limit</x:v>
      </x:c>
      <x:c r="T233" s="22" t="b">
        <x:v>0</x:v>
      </x:c>
      <x:c r="U233" s="19" t="n">
        <x:v>0</x:v>
      </x:c>
      <x:c r="V233" s="19" t="n">
        <x:v>0</x:v>
      </x:c>
      <x:c r="W233" s="19" t="n">
        <x:v>0</x:v>
      </x:c>
      <x:c r="X233" s="22" t="b">
        <x:v>0</x:v>
      </x:c>
      <x:c r="Y233" s="20" t="n">
        <x:v>0</x:v>
      </x:c>
      <x:c r="Z233" s="20" t="n">
        <x:v>0</x:v>
      </x:c>
      <x:c r="AA233" s="20" t="n">
        <x:v>0</x:v>
      </x:c>
      <x:c r="AB233" s="20" t="n">
        <x:v>2.561272</x:v>
      </x:c>
      <x:c r="AC233" s="20" t="n">
        <x:v>4</x:v>
      </x:c>
      <x:c r="AD233" s="20" t="n">
        <x:v>837.958612</x:v>
      </x:c>
      <x:c r="AE233" s="20" t="n">
        <x:v>3581.510807</x:v>
      </x:c>
      <x:c r="AF233" s="18" t="str">
        <x:v>{"random_removal": 0.04930989103021418, "related_removal": 0.028398842240561956, "worst_removal": 0.012489982966574187}</x:v>
      </x:c>
      <x:c r="AG233" s="18" t="str">
        <x:v>{"greedy_insertion": 0.016953631495759236, "regret_2_insertion": 0.04369051239802057}</x:v>
      </x:c>
      <x:c r="AH233" s="18" t="str">
        <x:v>[["D0", "C43", "C51", "C58", "S15", "C41", "D0"], ["D0", "C10", "C3", "C82", "S1", "C76", "C73", "S19", "C87", "C63", "D0"], ["D0", "C99", "S5", "C17", "C23", "C27", "D0"]]</x:v>
      </x:c>
    </x:row>
    <x:row r="234">
      <x:c r="A234" s="18" t="str">
        <x:v>results/week6/ablation_no_local_search/alns_evrptw_summary.csv</x:v>
      </x:c>
      <x:c r="B234" s="18" t="str">
        <x:v>No_Local_Search</x:v>
      </x:c>
      <x:c r="C234" s="18" t="str">
        <x:v>ALNS_EVRPTW_FULL_RECHARGE</x:v>
      </x:c>
      <x:c r="D234" s="18" t="str">
        <x:v>c202C15</x:v>
      </x:c>
      <x:c r="E234" s="19" t="n">
        <x:v>65</x:v>
      </x:c>
      <x:c r="F234" s="18" t="str">
        <x:v>C</x:v>
      </x:c>
      <x:c r="G234" s="19" t="n">
        <x:v>15</x:v>
      </x:c>
      <x:c r="H234" s="18" t="n">
        <x:v>1</x:v>
      </x:c>
      <x:c r="I234" s="19" t="n">
        <x:v>3</x:v>
      </x:c>
      <x:c r="J234" s="20" t="n">
        <x:v>376.789292</x:v>
      </x:c>
      <x:c r="K234" s="20" t="n">
        <x:v>53.585541</x:v>
      </x:c>
      <x:c r="L234" s="19" t="n">
        <x:v>1000</x:v>
      </x:c>
      <x:c r="M234" s="19" t="n">
        <x:v>23</x:v>
      </x:c>
      <x:c r="N234" s="19" t="n">
        <x:v>995</x:v>
      </x:c>
      <x:c r="O234" s="19" t="n">
        <x:v>5</x:v>
      </x:c>
      <x:c r="P234" s="19" t="n">
        <x:v>987</x:v>
      </x:c>
      <x:c r="Q234" s="19" t="n">
        <x:v>3</x:v>
      </x:c>
      <x:c r="R234" s="21" t="n">
        <x:f>P234/L234</x:f>
        <x:v>0.987</x:v>
      </x:c>
      <x:c r="S234" s="18" t="str">
        <x:v>iteration_limit</x:v>
      </x:c>
      <x:c r="T234" s="22" t="b">
        <x:v>0</x:v>
      </x:c>
      <x:c r="U234" s="19" t="n">
        <x:v>0</x:v>
      </x:c>
      <x:c r="V234" s="19" t="n">
        <x:v>0</x:v>
      </x:c>
      <x:c r="W234" s="19" t="n">
        <x:v>0</x:v>
      </x:c>
      <x:c r="X234" s="22" t="b">
        <x:v>0</x:v>
      </x:c>
      <x:c r="Y234" s="20" t="n">
        <x:v>0</x:v>
      </x:c>
      <x:c r="Z234" s="20" t="n">
        <x:v>0</x:v>
      </x:c>
      <x:c r="AA234" s="20" t="n">
        <x:v>0</x:v>
      </x:c>
      <x:c r="AB234" s="20" t="n">
        <x:v>2.561272</x:v>
      </x:c>
      <x:c r="AC234" s="20" t="n">
        <x:v>4</x:v>
      </x:c>
      <x:c r="AD234" s="20" t="n">
        <x:v>837.958612</x:v>
      </x:c>
      <x:c r="AE234" s="20" t="n">
        <x:v>3581.510807</x:v>
      </x:c>
      <x:c r="AF234" s="18" t="str">
        <x:v>{"random_removal": 0.016667000602796994, "related_removal": 0.023821272840035906, "worst_removal": 0.012558609246610312}</x:v>
      </x:c>
      <x:c r="AG234" s="18" t="str">
        <x:v>{"greedy_insertion": 0.015722372971761208, "regret_2_insertion": 0.016044743356731027}</x:v>
      </x:c>
      <x:c r="AH234" s="18" t="str">
        <x:v>[["D0", "C43", "C51", "C58", "S15", "C41", "D0"], ["D0", "C10", "C3", "C82", "S1", "C76", "C73", "S19", "C87", "C63", "D0"], ["D0", "C99", "S5", "C17", "C23", "C27", "D0"]]</x:v>
      </x:c>
    </x:row>
    <x:row r="235">
      <x:c r="A235" s="18" t="str">
        <x:v>results/week6/ablation_no_local_search/alns_evrptw_summary.csv</x:v>
      </x:c>
      <x:c r="B235" s="18" t="str">
        <x:v>No_Local_Search</x:v>
      </x:c>
      <x:c r="C235" s="18" t="str">
        <x:v>ALNS_EVRPTW_FULL_RECHARGE</x:v>
      </x:c>
      <x:c r="D235" s="18" t="str">
        <x:v>c202C15</x:v>
      </x:c>
      <x:c r="E235" s="19" t="n">
        <x:v>66</x:v>
      </x:c>
      <x:c r="F235" s="18" t="str">
        <x:v>C</x:v>
      </x:c>
      <x:c r="G235" s="19" t="n">
        <x:v>15</x:v>
      </x:c>
      <x:c r="H235" s="18" t="n">
        <x:v>1</x:v>
      </x:c>
      <x:c r="I235" s="19" t="n">
        <x:v>3</x:v>
      </x:c>
      <x:c r="J235" s="20" t="n">
        <x:v>376.789292</x:v>
      </x:c>
      <x:c r="K235" s="20" t="n">
        <x:v>53.468632</x:v>
      </x:c>
      <x:c r="L235" s="19" t="n">
        <x:v>1000</x:v>
      </x:c>
      <x:c r="M235" s="19" t="n">
        <x:v>18</x:v>
      </x:c>
      <x:c r="N235" s="19" t="n">
        <x:v>988</x:v>
      </x:c>
      <x:c r="O235" s="19" t="n">
        <x:v>6</x:v>
      </x:c>
      <x:c r="P235" s="19" t="n">
        <x:v>978</x:v>
      </x:c>
      <x:c r="Q235" s="19" t="n">
        <x:v>4</x:v>
      </x:c>
      <x:c r="R235" s="21" t="n">
        <x:f>P235/L235</x:f>
        <x:v>0.978</x:v>
      </x:c>
      <x:c r="S235" s="18" t="str">
        <x:v>iteration_limit</x:v>
      </x:c>
      <x:c r="T235" s="22" t="b">
        <x:v>0</x:v>
      </x:c>
      <x:c r="U235" s="19" t="n">
        <x:v>0</x:v>
      </x:c>
      <x:c r="V235" s="19" t="n">
        <x:v>0</x:v>
      </x:c>
      <x:c r="W235" s="19" t="n">
        <x:v>0</x:v>
      </x:c>
      <x:c r="X235" s="22" t="b">
        <x:v>0</x:v>
      </x:c>
      <x:c r="Y235" s="20" t="n">
        <x:v>0</x:v>
      </x:c>
      <x:c r="Z235" s="20" t="n">
        <x:v>0</x:v>
      </x:c>
      <x:c r="AA235" s="20" t="n">
        <x:v>0</x:v>
      </x:c>
      <x:c r="AB235" s="20" t="n">
        <x:v>2.561272</x:v>
      </x:c>
      <x:c r="AC235" s="20" t="n">
        <x:v>4</x:v>
      </x:c>
      <x:c r="AD235" s="20" t="n">
        <x:v>837.958612</x:v>
      </x:c>
      <x:c r="AE235" s="20" t="n">
        <x:v>3581.510807</x:v>
      </x:c>
      <x:c r="AF235" s="18" t="str">
        <x:v>{"random_removal": 0.015332142302816452, "related_removal": 0.019885788124040616, "worst_removal": 0.012558609246610312}</x:v>
      </x:c>
      <x:c r="AG235" s="18" t="str">
        <x:v>{"greedy_insertion": 0.015383637873421598, "regret_2_insertion": 0.017321530823658157}</x:v>
      </x:c>
      <x:c r="AH235" s="18" t="str">
        <x:v>[["D0", "C43", "C51", "C58", "S15", "C41", "D0"], ["D0", "C10", "C3", "C82", "S1", "C76", "C73", "S19", "C87", "C63", "D0"], ["D0", "C99", "S5", "C17", "C23", "C27", "D0"]]</x:v>
      </x:c>
    </x:row>
    <x:row r="236">
      <x:c r="A236" s="18" t="str">
        <x:v>results/week6/ablation_no_local_search/alns_evrptw_summary.csv</x:v>
      </x:c>
      <x:c r="B236" s="18" t="str">
        <x:v>No_Local_Search</x:v>
      </x:c>
      <x:c r="C236" s="18" t="str">
        <x:v>ALNS_EVRPTW_FULL_RECHARGE</x:v>
      </x:c>
      <x:c r="D236" s="18" t="str">
        <x:v>r105C5</x:v>
      </x:c>
      <x:c r="E236" s="19" t="n">
        <x:v>64</x:v>
      </x:c>
      <x:c r="F236" s="18" t="str">
        <x:v>R</x:v>
      </x:c>
      <x:c r="G236" s="19" t="n">
        <x:v>5</x:v>
      </x:c>
      <x:c r="H236" s="18" t="n">
        <x:v>1</x:v>
      </x:c>
      <x:c r="I236" s="19" t="n">
        <x:v>2</x:v>
      </x:c>
      <x:c r="J236" s="20" t="n">
        <x:v>156.082069</x:v>
      </x:c>
      <x:c r="K236" s="20" t="n">
        <x:v>0.459348</x:v>
      </x:c>
      <x:c r="L236" s="19" t="n">
        <x:v>1000</x:v>
      </x:c>
      <x:c r="M236" s="19" t="n">
        <x:v>0</x:v>
      </x:c>
      <x:c r="N236" s="19" t="n">
        <x:v>1000</x:v>
      </x:c>
      <x:c r="O236" s="19" t="n">
        <x:v>0</x:v>
      </x:c>
      <x:c r="P236" s="19" t="n">
        <x:v>1000</x:v>
      </x:c>
      <x:c r="Q236" s="19" t="n">
        <x:v>0</x:v>
      </x:c>
      <x:c r="R236" s="21" t="n">
        <x:f>P236/L236</x:f>
        <x:v>1</x:v>
      </x:c>
      <x:c r="S236" s="18" t="str">
        <x:v>iteration_limit</x:v>
      </x:c>
      <x:c r="T236" s="22" t="b">
        <x:v>0</x:v>
      </x:c>
      <x:c r="U236" s="19" t="n">
        <x:v>0</x:v>
      </x:c>
      <x:c r="V236" s="19" t="n">
        <x:v>0</x:v>
      </x:c>
      <x:c r="W236" s="19" t="n">
        <x:v>0</x:v>
      </x:c>
      <x:c r="X236" s="22" t="b">
        <x:v>0</x:v>
      </x:c>
      <x:c r="Y236" s="20" t="n">
        <x:v>0</x:v>
      </x:c>
      <x:c r="Z236" s="20" t="n">
        <x:v>0</x:v>
      </x:c>
      <x:c r="AA236" s="20" t="n">
        <x:v>0</x:v>
      </x:c>
      <x:c r="AB236" s="20" t="n">
        <x:v>2.82845</x:v>
      </x:c>
      <x:c r="AC236" s="20" t="n">
        <x:v>1</x:v>
      </x:c>
      <x:c r="AD236" s="20" t="n">
        <x:v>28.32276</x:v>
      </x:c>
      <x:c r="AE236" s="20" t="n">
        <x:v>129.785795</x:v>
      </x:c>
      <x:c r="AF236" s="18" t="str">
        <x:v>{"random_removal": 0.011529215046068483, "related_removal": 0.011529215046068483, "worst_removal": 0.011529215046068483}</x:v>
      </x:c>
      <x:c r="AG236" s="18" t="str">
        <x:v>{"greedy_insertion": 0.011529215046068483, "regret_2_insertion": 0.011529215046068483}</x:v>
      </x:c>
      <x:c r="AH236" s="18" t="str">
        <x:v>[["D0", "C75", "S1", "C78", "C28", "D0"], ["D0", "C91", "C95", "D0"]]</x:v>
      </x:c>
    </x:row>
    <x:row r="237">
      <x:c r="A237" s="18" t="str">
        <x:v>results/week6/ablation_no_local_search/alns_evrptw_summary.csv</x:v>
      </x:c>
      <x:c r="B237" s="18" t="str">
        <x:v>No_Local_Search</x:v>
      </x:c>
      <x:c r="C237" s="18" t="str">
        <x:v>ALNS_EVRPTW_FULL_RECHARGE</x:v>
      </x:c>
      <x:c r="D237" s="18" t="str">
        <x:v>r105C5</x:v>
      </x:c>
      <x:c r="E237" s="19" t="n">
        <x:v>65</x:v>
      </x:c>
      <x:c r="F237" s="18" t="str">
        <x:v>R</x:v>
      </x:c>
      <x:c r="G237" s="19" t="n">
        <x:v>5</x:v>
      </x:c>
      <x:c r="H237" s="18" t="n">
        <x:v>1</x:v>
      </x:c>
      <x:c r="I237" s="19" t="n">
        <x:v>2</x:v>
      </x:c>
      <x:c r="J237" s="20" t="n">
        <x:v>156.082069</x:v>
      </x:c>
      <x:c r="K237" s="20" t="n">
        <x:v>0.463183</x:v>
      </x:c>
      <x:c r="L237" s="19" t="n">
        <x:v>1000</x:v>
      </x:c>
      <x:c r="M237" s="19" t="n">
        <x:v>0</x:v>
      </x:c>
      <x:c r="N237" s="19" t="n">
        <x:v>1000</x:v>
      </x:c>
      <x:c r="O237" s="19" t="n">
        <x:v>0</x:v>
      </x:c>
      <x:c r="P237" s="19" t="n">
        <x:v>1000</x:v>
      </x:c>
      <x:c r="Q237" s="19" t="n">
        <x:v>0</x:v>
      </x:c>
      <x:c r="R237" s="21" t="n">
        <x:f>P237/L237</x:f>
        <x:v>1</x:v>
      </x:c>
      <x:c r="S237" s="18" t="str">
        <x:v>iteration_limit</x:v>
      </x:c>
      <x:c r="T237" s="22" t="b">
        <x:v>0</x:v>
      </x:c>
      <x:c r="U237" s="19" t="n">
        <x:v>0</x:v>
      </x:c>
      <x:c r="V237" s="19" t="n">
        <x:v>0</x:v>
      </x:c>
      <x:c r="W237" s="19" t="n">
        <x:v>0</x:v>
      </x:c>
      <x:c r="X237" s="22" t="b">
        <x:v>0</x:v>
      </x:c>
      <x:c r="Y237" s="20" t="n">
        <x:v>0</x:v>
      </x:c>
      <x:c r="Z237" s="20" t="n">
        <x:v>0</x:v>
      </x:c>
      <x:c r="AA237" s="20" t="n">
        <x:v>0</x:v>
      </x:c>
      <x:c r="AB237" s="20" t="n">
        <x:v>2.82845</x:v>
      </x:c>
      <x:c r="AC237" s="20" t="n">
        <x:v>1</x:v>
      </x:c>
      <x:c r="AD237" s="20" t="n">
        <x:v>28.32276</x:v>
      </x:c>
      <x:c r="AE237" s="20" t="n">
        <x:v>129.785795</x:v>
      </x:c>
      <x:c r="AF237" s="18" t="str">
        <x:v>{"random_removal": 0.011529215046068483, "related_removal": 0.011529215046068483, "worst_removal": 0.011529215046068483}</x:v>
      </x:c>
      <x:c r="AG237" s="18" t="str">
        <x:v>{"greedy_insertion": 0.011529215046068483, "regret_2_insertion": 0.011529215046068483}</x:v>
      </x:c>
      <x:c r="AH237" s="18" t="str">
        <x:v>[["D0", "C75", "S1", "C78", "C28", "D0"], ["D0", "C91", "C95", "D0"]]</x:v>
      </x:c>
    </x:row>
    <x:row r="238">
      <x:c r="A238" s="18" t="str">
        <x:v>results/week6/ablation_no_local_search/alns_evrptw_summary.csv</x:v>
      </x:c>
      <x:c r="B238" s="18" t="str">
        <x:v>No_Local_Search</x:v>
      </x:c>
      <x:c r="C238" s="18" t="str">
        <x:v>ALNS_EVRPTW_FULL_RECHARGE</x:v>
      </x:c>
      <x:c r="D238" s="18" t="str">
        <x:v>r105C5</x:v>
      </x:c>
      <x:c r="E238" s="19" t="n">
        <x:v>66</x:v>
      </x:c>
      <x:c r="F238" s="18" t="str">
        <x:v>R</x:v>
      </x:c>
      <x:c r="G238" s="19" t="n">
        <x:v>5</x:v>
      </x:c>
      <x:c r="H238" s="18" t="n">
        <x:v>1</x:v>
      </x:c>
      <x:c r="I238" s="19" t="n">
        <x:v>2</x:v>
      </x:c>
      <x:c r="J238" s="20" t="n">
        <x:v>156.082069</x:v>
      </x:c>
      <x:c r="K238" s="20" t="n">
        <x:v>0.514813</x:v>
      </x:c>
      <x:c r="L238" s="19" t="n">
        <x:v>1000</x:v>
      </x:c>
      <x:c r="M238" s="19" t="n">
        <x:v>0</x:v>
      </x:c>
      <x:c r="N238" s="19" t="n">
        <x:v>1000</x:v>
      </x:c>
      <x:c r="O238" s="19" t="n">
        <x:v>0</x:v>
      </x:c>
      <x:c r="P238" s="19" t="n">
        <x:v>1000</x:v>
      </x:c>
      <x:c r="Q238" s="19" t="n">
        <x:v>0</x:v>
      </x:c>
      <x:c r="R238" s="21" t="n">
        <x:f>P238/L238</x:f>
        <x:v>1</x:v>
      </x:c>
      <x:c r="S238" s="18" t="str">
        <x:v>iteration_limit</x:v>
      </x:c>
      <x:c r="T238" s="22" t="b">
        <x:v>0</x:v>
      </x:c>
      <x:c r="U238" s="19" t="n">
        <x:v>0</x:v>
      </x:c>
      <x:c r="V238" s="19" t="n">
        <x:v>0</x:v>
      </x:c>
      <x:c r="W238" s="19" t="n">
        <x:v>0</x:v>
      </x:c>
      <x:c r="X238" s="22" t="b">
        <x:v>0</x:v>
      </x:c>
      <x:c r="Y238" s="20" t="n">
        <x:v>0</x:v>
      </x:c>
      <x:c r="Z238" s="20" t="n">
        <x:v>0</x:v>
      </x:c>
      <x:c r="AA238" s="20" t="n">
        <x:v>0</x:v>
      </x:c>
      <x:c r="AB238" s="20" t="n">
        <x:v>2.82845</x:v>
      </x:c>
      <x:c r="AC238" s="20" t="n">
        <x:v>1</x:v>
      </x:c>
      <x:c r="AD238" s="20" t="n">
        <x:v>28.32276</x:v>
      </x:c>
      <x:c r="AE238" s="20" t="n">
        <x:v>129.785795</x:v>
      </x:c>
      <x:c r="AF238" s="18" t="str">
        <x:v>{"random_removal": 0.011529215046068483, "related_removal": 0.011529215046068483, "worst_removal": 0.011529215046068483}</x:v>
      </x:c>
      <x:c r="AG238" s="18" t="str">
        <x:v>{"greedy_insertion": 0.011529215046068483, "regret_2_insertion": 0.011529215046068483}</x:v>
      </x:c>
      <x:c r="AH238" s="18" t="str">
        <x:v>[["D0", "C75", "S1", "C78", "C28", "D0"], ["D0", "C91", "C95", "D0"]]</x:v>
      </x:c>
    </x:row>
    <x:row r="239">
      <x:c r="A239" s="18" t="str">
        <x:v>results/week6/ablation_no_local_search/alns_evrptw_summary.csv</x:v>
      </x:c>
      <x:c r="B239" s="18" t="str">
        <x:v>No_Local_Search</x:v>
      </x:c>
      <x:c r="C239" s="18" t="str">
        <x:v>ALNS_EVRPTW_FULL_RECHARGE</x:v>
      </x:c>
      <x:c r="D239" s="18" t="str">
        <x:v>r103C10</x:v>
      </x:c>
      <x:c r="E239" s="19" t="n">
        <x:v>64</x:v>
      </x:c>
      <x:c r="F239" s="18" t="str">
        <x:v>R</x:v>
      </x:c>
      <x:c r="G239" s="19" t="n">
        <x:v>10</x:v>
      </x:c>
      <x:c r="H239" s="18" t="n">
        <x:v>1</x:v>
      </x:c>
      <x:c r="I239" s="19" t="n">
        <x:v>2</x:v>
      </x:c>
      <x:c r="J239" s="20" t="n">
        <x:v>207.051154</x:v>
      </x:c>
      <x:c r="K239" s="20" t="n">
        <x:v>6.091741</x:v>
      </x:c>
      <x:c r="L239" s="19" t="n">
        <x:v>1000</x:v>
      </x:c>
      <x:c r="M239" s="19" t="n">
        <x:v>48</x:v>
      </x:c>
      <x:c r="N239" s="19" t="n">
        <x:v>973</x:v>
      </x:c>
      <x:c r="O239" s="19" t="n">
        <x:v>8</x:v>
      </x:c>
      <x:c r="P239" s="19" t="n">
        <x:v>959</x:v>
      </x:c>
      <x:c r="Q239" s="19" t="n">
        <x:v>6</x:v>
      </x:c>
      <x:c r="R239" s="21" t="n">
        <x:f>P239/L239</x:f>
        <x:v>0.959</x:v>
      </x:c>
      <x:c r="S239" s="18" t="str">
        <x:v>iteration_limit</x:v>
      </x:c>
      <x:c r="T239" s="22" t="b">
        <x:v>0</x:v>
      </x:c>
      <x:c r="U239" s="19" t="n">
        <x:v>0</x:v>
      </x:c>
      <x:c r="V239" s="19" t="n">
        <x:v>0</x:v>
      </x:c>
      <x:c r="W239" s="19" t="n">
        <x:v>0</x:v>
      </x:c>
      <x:c r="X239" s="22" t="b">
        <x:v>0</x:v>
      </x:c>
      <x:c r="Y239" s="20" t="n">
        <x:v>0</x:v>
      </x:c>
      <x:c r="Z239" s="20" t="n">
        <x:v>0</x:v>
      </x:c>
      <x:c r="AA239" s="20" t="n">
        <x:v>0</x:v>
      </x:c>
      <x:c r="AB239" s="20" t="n">
        <x:v>0.425419</x:v>
      </x:c>
      <x:c r="AC239" s="20" t="n">
        <x:v>3</x:v>
      </x:c>
      <x:c r="AD239" s="20" t="n">
        <x:v>49.247992</x:v>
      </x:c>
      <x:c r="AE239" s="20" t="n">
        <x:v>58.548169</x:v>
      </x:c>
      <x:c r="AF239" s="18" t="str">
        <x:v>{"random_removal": 0.033371012525185956, "related_removal": 0.018067012843121334, "worst_removal": 0.011529215046068483}</x:v>
      </x:c>
      <x:c r="AG239" s="18" t="str">
        <x:v>{"greedy_insertion": 0.027807294842809756, "regret_2_insertion": 0.02037821732898541}</x:v>
      </x:c>
      <x:c r="AH239" s="18" t="str">
        <x:v>[["D0", "C26", "C53", "C16", "C91", "S13", "S0", "C81", "D0"], ["D0", "C18", "S9", "C45", "C84", "C83", "C27", "D0"]]</x:v>
      </x:c>
    </x:row>
    <x:row r="240">
      <x:c r="A240" s="18" t="str">
        <x:v>results/week6/ablation_no_local_search/alns_evrptw_summary.csv</x:v>
      </x:c>
      <x:c r="B240" s="18" t="str">
        <x:v>No_Local_Search</x:v>
      </x:c>
      <x:c r="C240" s="18" t="str">
        <x:v>ALNS_EVRPTW_FULL_RECHARGE</x:v>
      </x:c>
      <x:c r="D240" s="18" t="str">
        <x:v>r103C10</x:v>
      </x:c>
      <x:c r="E240" s="19" t="n">
        <x:v>65</x:v>
      </x:c>
      <x:c r="F240" s="18" t="str">
        <x:v>R</x:v>
      </x:c>
      <x:c r="G240" s="19" t="n">
        <x:v>10</x:v>
      </x:c>
      <x:c r="H240" s="18" t="n">
        <x:v>1</x:v>
      </x:c>
      <x:c r="I240" s="19" t="n">
        <x:v>2</x:v>
      </x:c>
      <x:c r="J240" s="20" t="n">
        <x:v>207.051154</x:v>
      </x:c>
      <x:c r="K240" s="20" t="n">
        <x:v>5.983446</x:v>
      </x:c>
      <x:c r="L240" s="19" t="n">
        <x:v>1000</x:v>
      </x:c>
      <x:c r="M240" s="19" t="n">
        <x:v>301</x:v>
      </x:c>
      <x:c r="N240" s="19" t="n">
        <x:v>986</x:v>
      </x:c>
      <x:c r="O240" s="19" t="n">
        <x:v>4</x:v>
      </x:c>
      <x:c r="P240" s="19" t="n">
        <x:v>979</x:v>
      </x:c>
      <x:c r="Q240" s="19" t="n">
        <x:v>3</x:v>
      </x:c>
      <x:c r="R240" s="21" t="n">
        <x:f>P240/L240</x:f>
        <x:v>0.979</x:v>
      </x:c>
      <x:c r="S240" s="18" t="str">
        <x:v>iteration_limit</x:v>
      </x:c>
      <x:c r="T240" s="22" t="b">
        <x:v>0</x:v>
      </x:c>
      <x:c r="U240" s="19" t="n">
        <x:v>0</x:v>
      </x:c>
      <x:c r="V240" s="19" t="n">
        <x:v>0</x:v>
      </x:c>
      <x:c r="W240" s="19" t="n">
        <x:v>0</x:v>
      </x:c>
      <x:c r="X240" s="22" t="b">
        <x:v>0</x:v>
      </x:c>
      <x:c r="Y240" s="20" t="n">
        <x:v>0</x:v>
      </x:c>
      <x:c r="Z240" s="20" t="n">
        <x:v>0</x:v>
      </x:c>
      <x:c r="AA240" s="20" t="n">
        <x:v>0</x:v>
      </x:c>
      <x:c r="AB240" s="20" t="n">
        <x:v>0.425419</x:v>
      </x:c>
      <x:c r="AC240" s="20" t="n">
        <x:v>3</x:v>
      </x:c>
      <x:c r="AD240" s="20" t="n">
        <x:v>49.247992</x:v>
      </x:c>
      <x:c r="AE240" s="20" t="n">
        <x:v>58.548169</x:v>
      </x:c>
      <x:c r="AF240" s="18" t="str">
        <x:v>{"random_removal": 0.028328103960481105, "related_removal": 0.012655431612259911, "worst_removal": 0.011529215046068483}</x:v>
      </x:c>
      <x:c r="AG240" s="18" t="str">
        <x:v>{"greedy_insertion": 0.023527158474193, "regret_2_insertion": 0.01419412965146532}</x:v>
      </x:c>
      <x:c r="AH240" s="18" t="str">
        <x:v>[["D0", "C26", "C53", "C16", "C91", "S13", "S0", "C81", "D0"], ["D0", "C18", "S9", "C45", "C84", "C83", "C27", "D0"]]</x:v>
      </x:c>
    </x:row>
    <x:row r="241">
      <x:c r="A241" s="18" t="str">
        <x:v>results/week6/ablation_no_local_search/alns_evrptw_summary.csv</x:v>
      </x:c>
      <x:c r="B241" s="18" t="str">
        <x:v>No_Local_Search</x:v>
      </x:c>
      <x:c r="C241" s="18" t="str">
        <x:v>ALNS_EVRPTW_FULL_RECHARGE</x:v>
      </x:c>
      <x:c r="D241" s="18" t="str">
        <x:v>r103C10</x:v>
      </x:c>
      <x:c r="E241" s="19" t="n">
        <x:v>66</x:v>
      </x:c>
      <x:c r="F241" s="18" t="str">
        <x:v>R</x:v>
      </x:c>
      <x:c r="G241" s="19" t="n">
        <x:v>10</x:v>
      </x:c>
      <x:c r="H241" s="18" t="n">
        <x:v>1</x:v>
      </x:c>
      <x:c r="I241" s="19" t="n">
        <x:v>2</x:v>
      </x:c>
      <x:c r="J241" s="20" t="n">
        <x:v>207.051154</x:v>
      </x:c>
      <x:c r="K241" s="20" t="n">
        <x:v>6.062428</x:v>
      </x:c>
      <x:c r="L241" s="19" t="n">
        <x:v>1000</x:v>
      </x:c>
      <x:c r="M241" s="19" t="n">
        <x:v>66</x:v>
      </x:c>
      <x:c r="N241" s="19" t="n">
        <x:v>974</x:v>
      </x:c>
      <x:c r="O241" s="19" t="n">
        <x:v>16</x:v>
      </x:c>
      <x:c r="P241" s="19" t="n">
        <x:v>944</x:v>
      </x:c>
      <x:c r="Q241" s="19" t="n">
        <x:v>14</x:v>
      </x:c>
      <x:c r="R241" s="21" t="n">
        <x:f>P241/L241</x:f>
        <x:v>0.944</x:v>
      </x:c>
      <x:c r="S241" s="18" t="str">
        <x:v>iteration_limit</x:v>
      </x:c>
      <x:c r="T241" s="22" t="b">
        <x:v>0</x:v>
      </x:c>
      <x:c r="U241" s="19" t="n">
        <x:v>0</x:v>
      </x:c>
      <x:c r="V241" s="19" t="n">
        <x:v>0</x:v>
      </x:c>
      <x:c r="W241" s="19" t="n">
        <x:v>0</x:v>
      </x:c>
      <x:c r="X241" s="22" t="b">
        <x:v>0</x:v>
      </x:c>
      <x:c r="Y241" s="20" t="n">
        <x:v>0</x:v>
      </x:c>
      <x:c r="Z241" s="20" t="n">
        <x:v>0</x:v>
      </x:c>
      <x:c r="AA241" s="20" t="n">
        <x:v>0</x:v>
      </x:c>
      <x:c r="AB241" s="20" t="n">
        <x:v>0.425419</x:v>
      </x:c>
      <x:c r="AC241" s="20" t="n">
        <x:v>3</x:v>
      </x:c>
      <x:c r="AD241" s="20" t="n">
        <x:v>49.247992</x:v>
      </x:c>
      <x:c r="AE241" s="20" t="n">
        <x:v>58.548169</x:v>
      </x:c>
      <x:c r="AF241" s="18" t="str">
        <x:v>{"random_removal": 0.05496207302634472, "related_removal": 0.02207347081603545, "worst_removal": 0.011529215046068483}</x:v>
      </x:c>
      <x:c r="AG241" s="18" t="str">
        <x:v>{"greedy_insertion": 0.023714250186264496, "regret_2_insertion": 0.047638245347518}</x:v>
      </x:c>
      <x:c r="AH241" s="18" t="str">
        <x:v>[["D0", "C26", "C53", "C16", "C91", "S13", "S0", "C81", "D0"], ["D0", "C18", "S9", "C45", "C84", "C83", "C27", "D0"]]</x:v>
      </x:c>
    </x:row>
    <x:row r="242">
      <x:c r="A242" s="18" t="str">
        <x:v>results/week6/ablation_no_local_search/alns_evrptw_summary.csv</x:v>
      </x:c>
      <x:c r="B242" s="18" t="str">
        <x:v>No_Local_Search</x:v>
      </x:c>
      <x:c r="C242" s="18" t="str">
        <x:v>ALNS_EVRPTW_FULL_RECHARGE</x:v>
      </x:c>
      <x:c r="D242" s="18" t="str">
        <x:v>r105C15</x:v>
      </x:c>
      <x:c r="E242" s="19" t="n">
        <x:v>64</x:v>
      </x:c>
      <x:c r="F242" s="18" t="str">
        <x:v>R</x:v>
      </x:c>
      <x:c r="G242" s="19" t="n">
        <x:v>15</x:v>
      </x:c>
      <x:c r="H242" s="18" t="n">
        <x:v>1</x:v>
      </x:c>
      <x:c r="I242" s="19" t="n">
        <x:v>4</x:v>
      </x:c>
      <x:c r="J242" s="20" t="n">
        <x:v>336.153602</x:v>
      </x:c>
      <x:c r="K242" s="20" t="n">
        <x:v>30.900968</x:v>
      </x:c>
      <x:c r="L242" s="19" t="n">
        <x:v>1000</x:v>
      </x:c>
      <x:c r="M242" s="19" t="n">
        <x:v>207</x:v>
      </x:c>
      <x:c r="N242" s="19" t="n">
        <x:v>991</x:v>
      </x:c>
      <x:c r="O242" s="19" t="n">
        <x:v>5</x:v>
      </x:c>
      <x:c r="P242" s="19" t="n">
        <x:v>986</x:v>
      </x:c>
      <x:c r="Q242" s="19" t="n">
        <x:v>0</x:v>
      </x:c>
      <x:c r="R242" s="21" t="n">
        <x:f>P242/L242</x:f>
        <x:v>0.986</x:v>
      </x:c>
      <x:c r="S242" s="18" t="str">
        <x:v>iteration_limit</x:v>
      </x:c>
      <x:c r="T242" s="22" t="b">
        <x:v>0</x:v>
      </x:c>
      <x:c r="U242" s="19" t="n">
        <x:v>0</x:v>
      </x:c>
      <x:c r="V242" s="19" t="n">
        <x:v>0</x:v>
      </x:c>
      <x:c r="W242" s="19" t="n">
        <x:v>0</x:v>
      </x:c>
      <x:c r="X242" s="22" t="b">
        <x:v>0</x:v>
      </x:c>
      <x:c r="Y242" s="20" t="n">
        <x:v>0</x:v>
      </x:c>
      <x:c r="Z242" s="20" t="n">
        <x:v>0</x:v>
      </x:c>
      <x:c r="AA242" s="20" t="n">
        <x:v>0</x:v>
      </x:c>
      <x:c r="AB242" s="20" t="n">
        <x:v>1.851332</x:v>
      </x:c>
      <x:c r="AC242" s="20" t="n">
        <x:v>4</x:v>
      </x:c>
      <x:c r="AD242" s="20" t="n">
        <x:v>80.684092</x:v>
      </x:c>
      <x:c r="AE242" s="20" t="n">
        <x:v>214.082303</x:v>
      </x:c>
      <x:c r="AF242" s="18" t="str">
        <x:v>{"random_removal": 0.01584004696211593, "related_removal": 0.01263779341588276, "worst_removal": 0.011529215046068483}</x:v>
      </x:c>
      <x:c r="AG242" s="18" t="str">
        <x:v>{"greedy_insertion": 0.013046217025814334, "regret_2_insertion": 0.014134436742953869}</x:v>
      </x:c>
      <x:c r="AH242" s="18" t="str">
        <x:v>[["D0", "C8", "C17", "C85", "S13", "C95", "C5", "D0"], ["D0", "C50", "C69", "D0"], ["D0", "C56", "C23", "S17", "C57", "D0"], ["D0", "C70", "S3", "C9", "C29", "S1", "C25", "C28", "D0"]]</x:v>
      </x:c>
    </x:row>
    <x:row r="243">
      <x:c r="A243" s="18" t="str">
        <x:v>results/week6/ablation_no_local_search/alns_evrptw_summary.csv</x:v>
      </x:c>
      <x:c r="B243" s="18" t="str">
        <x:v>No_Local_Search</x:v>
      </x:c>
      <x:c r="C243" s="18" t="str">
        <x:v>ALNS_EVRPTW_FULL_RECHARGE</x:v>
      </x:c>
      <x:c r="D243" s="18" t="str">
        <x:v>r105C15</x:v>
      </x:c>
      <x:c r="E243" s="19" t="n">
        <x:v>65</x:v>
      </x:c>
      <x:c r="F243" s="18" t="str">
        <x:v>R</x:v>
      </x:c>
      <x:c r="G243" s="19" t="n">
        <x:v>15</x:v>
      </x:c>
      <x:c r="H243" s="18" t="n">
        <x:v>1</x:v>
      </x:c>
      <x:c r="I243" s="19" t="n">
        <x:v>4</x:v>
      </x:c>
      <x:c r="J243" s="20" t="n">
        <x:v>356.115491</x:v>
      </x:c>
      <x:c r="K243" s="20" t="n">
        <x:v>33.133736</x:v>
      </x:c>
      <x:c r="L243" s="19" t="n">
        <x:v>1000</x:v>
      </x:c>
      <x:c r="M243" s="19" t="n">
        <x:v>7</x:v>
      </x:c>
      <x:c r="N243" s="19" t="n">
        <x:v>769</x:v>
      </x:c>
      <x:c r="O243" s="19" t="n">
        <x:v>3</x:v>
      </x:c>
      <x:c r="P243" s="19" t="n">
        <x:v>766</x:v>
      </x:c>
      <x:c r="Q243" s="19" t="n">
        <x:v>0</x:v>
      </x:c>
      <x:c r="R243" s="21" t="n">
        <x:f>P243/L243</x:f>
        <x:v>0.766</x:v>
      </x:c>
      <x:c r="S243" s="18" t="str">
        <x:v>iteration_limit</x:v>
      </x:c>
      <x:c r="T243" s="22" t="b">
        <x:v>0</x:v>
      </x:c>
      <x:c r="U243" s="19" t="n">
        <x:v>0</x:v>
      </x:c>
      <x:c r="V243" s="19" t="n">
        <x:v>0</x:v>
      </x:c>
      <x:c r="W243" s="19" t="n">
        <x:v>0</x:v>
      </x:c>
      <x:c r="X243" s="22" t="b">
        <x:v>0</x:v>
      </x:c>
      <x:c r="Y243" s="20" t="n">
        <x:v>0</x:v>
      </x:c>
      <x:c r="Z243" s="20" t="n">
        <x:v>0</x:v>
      </x:c>
      <x:c r="AA243" s="20" t="n">
        <x:v>0</x:v>
      </x:c>
      <x:c r="AB243" s="20" t="n">
        <x:v>0.046069</x:v>
      </x:c>
      <x:c r="AC243" s="20" t="n">
        <x:v>4</x:v>
      </x:c>
      <x:c r="AD243" s="20" t="n">
        <x:v>92.949259</x:v>
      </x:c>
      <x:c r="AE243" s="20" t="n">
        <x:v>228.984951</x:v>
      </x:c>
      <x:c r="AF243" s="18" t="str">
        <x:v>{"random_removal": 0.012489982966574187, "related_removal": 0.012839353119485353, "worst_removal": 0.011529215046068483}</x:v>
      </x:c>
      <x:c r="AG243" s="18" t="str">
        <x:v>{"greedy_insertion": 0.012596734957741489, "regret_2_insertion": 0.012155802820311333}</x:v>
      </x:c>
      <x:c r="AH243" s="18" t="str">
        <x:v>[["D0", "C8", "C17", "C85", "S13", "C95", "C57", "D0"], ["D0", "C70", "S3", "C9", "C50", "C29", "S1", "C28", "D0"], ["D0", "C69", "C5", "D0"], ["D0", "C56", "C23", "S19", "C25", "D0"]]</x:v>
      </x:c>
    </x:row>
    <x:row r="244">
      <x:c r="A244" s="18" t="str">
        <x:v>results/week6/ablation_no_local_search/alns_evrptw_summary.csv</x:v>
      </x:c>
      <x:c r="B244" s="18" t="str">
        <x:v>No_Local_Search</x:v>
      </x:c>
      <x:c r="C244" s="18" t="str">
        <x:v>ALNS_EVRPTW_FULL_RECHARGE</x:v>
      </x:c>
      <x:c r="D244" s="18" t="str">
        <x:v>r105C15</x:v>
      </x:c>
      <x:c r="E244" s="19" t="n">
        <x:v>66</x:v>
      </x:c>
      <x:c r="F244" s="18" t="str">
        <x:v>R</x:v>
      </x:c>
      <x:c r="G244" s="19" t="n">
        <x:v>15</x:v>
      </x:c>
      <x:c r="H244" s="18" t="n">
        <x:v>1</x:v>
      </x:c>
      <x:c r="I244" s="19" t="n">
        <x:v>4</x:v>
      </x:c>
      <x:c r="J244" s="20" t="n">
        <x:v>336.153602</x:v>
      </x:c>
      <x:c r="K244" s="20" t="n">
        <x:v>28.979141</x:v>
      </x:c>
      <x:c r="L244" s="19" t="n">
        <x:v>1000</x:v>
      </x:c>
      <x:c r="M244" s="19" t="n">
        <x:v>12</x:v>
      </x:c>
      <x:c r="N244" s="19" t="n">
        <x:v>990</x:v>
      </x:c>
      <x:c r="O244" s="19" t="n">
        <x:v>5</x:v>
      </x:c>
      <x:c r="P244" s="19" t="n">
        <x:v>984</x:v>
      </x:c>
      <x:c r="Q244" s="19" t="n">
        <x:v>1</x:v>
      </x:c>
      <x:c r="R244" s="21" t="n">
        <x:f>P244/L244</x:f>
        <x:v>0.984</x:v>
      </x:c>
      <x:c r="S244" s="18" t="str">
        <x:v>iteration_limit</x:v>
      </x:c>
      <x:c r="T244" s="22" t="b">
        <x:v>0</x:v>
      </x:c>
      <x:c r="U244" s="19" t="n">
        <x:v>0</x:v>
      </x:c>
      <x:c r="V244" s="19" t="n">
        <x:v>0</x:v>
      </x:c>
      <x:c r="W244" s="19" t="n">
        <x:v>0</x:v>
      </x:c>
      <x:c r="X244" s="22" t="b">
        <x:v>0</x:v>
      </x:c>
      <x:c r="Y244" s="20" t="n">
        <x:v>0</x:v>
      </x:c>
      <x:c r="Z244" s="20" t="n">
        <x:v>0</x:v>
      </x:c>
      <x:c r="AA244" s="20" t="n">
        <x:v>0</x:v>
      </x:c>
      <x:c r="AB244" s="20" t="n">
        <x:v>1.851332</x:v>
      </x:c>
      <x:c r="AC244" s="20" t="n">
        <x:v>4</x:v>
      </x:c>
      <x:c r="AD244" s="20" t="n">
        <x:v>80.684092</x:v>
      </x:c>
      <x:c r="AE244" s="20" t="n">
        <x:v>214.082303</x:v>
      </x:c>
      <x:c r="AF244" s="18" t="str">
        <x:v>{"random_removal": 0.029778235127050152, "related_removal": 0.013224687846960912, "worst_removal": 0.011529215046068483}</x:v>
      </x:c>
      <x:c r="AG244" s="18" t="str">
        <x:v>{"greedy_insertion": 0.013302940437771325, "regret_2_insertion": 0.023832552139241698}</x:v>
      </x:c>
      <x:c r="AH244" s="18" t="str">
        <x:v>[["D0", "C8", "C17", "C85", "S13", "C95", "C5", "D0"], ["D0", "C70", "S3", "C9", "C29", "S1", "C25", "C28", "D0"], ["D0", "C56", "C23", "S17", "C57", "D0"], ["D0", "C50", "C69", "D0"]]</x:v>
      </x:c>
    </x:row>
    <x:row r="245">
      <x:c r="A245" s="18" t="str">
        <x:v>results/week6/ablation_no_local_search/alns_evrptw_summary.csv</x:v>
      </x:c>
      <x:c r="B245" s="18" t="str">
        <x:v>No_Local_Search</x:v>
      </x:c>
      <x:c r="C245" s="18" t="str">
        <x:v>ALNS_EVRPTW_FULL_RECHARGE</x:v>
      </x:c>
      <x:c r="D245" s="18" t="str">
        <x:v>r202C5</x:v>
      </x:c>
      <x:c r="E245" s="19" t="n">
        <x:v>64</x:v>
      </x:c>
      <x:c r="F245" s="18" t="str">
        <x:v>R</x:v>
      </x:c>
      <x:c r="G245" s="19" t="n">
        <x:v>5</x:v>
      </x:c>
      <x:c r="H245" s="18" t="n">
        <x:v>1</x:v>
      </x:c>
      <x:c r="I245" s="19" t="n">
        <x:v>1</x:v>
      </x:c>
      <x:c r="J245" s="20" t="n">
        <x:v>128.777139</x:v>
      </x:c>
      <x:c r="K245" s="20" t="n">
        <x:v>1.136305</x:v>
      </x:c>
      <x:c r="L245" s="19" t="n">
        <x:v>1000</x:v>
      </x:c>
      <x:c r="M245" s="19" t="n">
        <x:v>0</x:v>
      </x:c>
      <x:c r="N245" s="19" t="n">
        <x:v>1000</x:v>
      </x:c>
      <x:c r="O245" s="19" t="n">
        <x:v>0</x:v>
      </x:c>
      <x:c r="P245" s="19" t="n">
        <x:v>1000</x:v>
      </x:c>
      <x:c r="Q245" s="19" t="n">
        <x:v>0</x:v>
      </x:c>
      <x:c r="R245" s="21" t="n">
        <x:f>P245/L245</x:f>
        <x:v>1</x:v>
      </x:c>
      <x:c r="S245" s="18" t="str">
        <x:v>iteration_limit</x:v>
      </x:c>
      <x:c r="T245" s="22" t="b">
        <x:v>0</x:v>
      </x:c>
      <x:c r="U245" s="19" t="n">
        <x:v>0</x:v>
      </x:c>
      <x:c r="V245" s="19" t="n">
        <x:v>0</x:v>
      </x:c>
      <x:c r="W245" s="19" t="n">
        <x:v>0</x:v>
      </x:c>
      <x:c r="X245" s="22" t="b">
        <x:v>0</x:v>
      </x:c>
      <x:c r="Y245" s="20" t="n">
        <x:v>0</x:v>
      </x:c>
      <x:c r="Z245" s="20" t="n">
        <x:v>0</x:v>
      </x:c>
      <x:c r="AA245" s="20" t="n">
        <x:v>0</x:v>
      </x:c>
      <x:c r="AB245" s="20" t="n">
        <x:v>0.273651</x:v>
      </x:c>
      <x:c r="AC245" s="20" t="n">
        <x:v>2</x:v>
      </x:c>
      <x:c r="AD245" s="20" t="n">
        <x:v>36.590343</x:v>
      </x:c>
      <x:c r="AE245" s="20" t="n">
        <x:v>213.443906</x:v>
      </x:c>
      <x:c r="AF245" s="18" t="str">
        <x:v>{"random_removal": 0.011529215046068483, "related_removal": 0.011529215046068483, "worst_removal": 0.011529215046068483}</x:v>
      </x:c>
      <x:c r="AG245" s="18" t="str">
        <x:v>{"greedy_insertion": 0.011529215046068483, "regret_2_insertion": 0.011529215046068483}</x:v>
      </x:c>
      <x:c r="AH245" s="18" t="str">
        <x:v>[["D0", "C77", "C72", "S15", "S13", "C37", "C17", "C18", "D0"]]</x:v>
      </x:c>
    </x:row>
    <x:row r="246">
      <x:c r="A246" s="18" t="str">
        <x:v>results/week6/ablation_no_local_search/alns_evrptw_summary.csv</x:v>
      </x:c>
      <x:c r="B246" s="18" t="str">
        <x:v>No_Local_Search</x:v>
      </x:c>
      <x:c r="C246" s="18" t="str">
        <x:v>ALNS_EVRPTW_FULL_RECHARGE</x:v>
      </x:c>
      <x:c r="D246" s="18" t="str">
        <x:v>r202C5</x:v>
      </x:c>
      <x:c r="E246" s="19" t="n">
        <x:v>65</x:v>
      </x:c>
      <x:c r="F246" s="18" t="str">
        <x:v>R</x:v>
      </x:c>
      <x:c r="G246" s="19" t="n">
        <x:v>5</x:v>
      </x:c>
      <x:c r="H246" s="18" t="n">
        <x:v>1</x:v>
      </x:c>
      <x:c r="I246" s="19" t="n">
        <x:v>1</x:v>
      </x:c>
      <x:c r="J246" s="20" t="n">
        <x:v>128.777139</x:v>
      </x:c>
      <x:c r="K246" s="20" t="n">
        <x:v>1.129535</x:v>
      </x:c>
      <x:c r="L246" s="19" t="n">
        <x:v>1000</x:v>
      </x:c>
      <x:c r="M246" s="19" t="n">
        <x:v>0</x:v>
      </x:c>
      <x:c r="N246" s="19" t="n">
        <x:v>1000</x:v>
      </x:c>
      <x:c r="O246" s="19" t="n">
        <x:v>0</x:v>
      </x:c>
      <x:c r="P246" s="19" t="n">
        <x:v>1000</x:v>
      </x:c>
      <x:c r="Q246" s="19" t="n">
        <x:v>0</x:v>
      </x:c>
      <x:c r="R246" s="21" t="n">
        <x:f>P246/L246</x:f>
        <x:v>1</x:v>
      </x:c>
      <x:c r="S246" s="18" t="str">
        <x:v>iteration_limit</x:v>
      </x:c>
      <x:c r="T246" s="22" t="b">
        <x:v>0</x:v>
      </x:c>
      <x:c r="U246" s="19" t="n">
        <x:v>0</x:v>
      </x:c>
      <x:c r="V246" s="19" t="n">
        <x:v>0</x:v>
      </x:c>
      <x:c r="W246" s="19" t="n">
        <x:v>0</x:v>
      </x:c>
      <x:c r="X246" s="22" t="b">
        <x:v>0</x:v>
      </x:c>
      <x:c r="Y246" s="20" t="n">
        <x:v>0</x:v>
      </x:c>
      <x:c r="Z246" s="20" t="n">
        <x:v>0</x:v>
      </x:c>
      <x:c r="AA246" s="20" t="n">
        <x:v>0</x:v>
      </x:c>
      <x:c r="AB246" s="20" t="n">
        <x:v>0.273651</x:v>
      </x:c>
      <x:c r="AC246" s="20" t="n">
        <x:v>2</x:v>
      </x:c>
      <x:c r="AD246" s="20" t="n">
        <x:v>36.590343</x:v>
      </x:c>
      <x:c r="AE246" s="20" t="n">
        <x:v>213.443906</x:v>
      </x:c>
      <x:c r="AF246" s="18" t="str">
        <x:v>{"random_removal": 0.011529215046068483, "related_removal": 0.011529215046068483, "worst_removal": 0.011529215046068483}</x:v>
      </x:c>
      <x:c r="AG246" s="18" t="str">
        <x:v>{"greedy_insertion": 0.011529215046068483, "regret_2_insertion": 0.011529215046068483}</x:v>
      </x:c>
      <x:c r="AH246" s="18" t="str">
        <x:v>[["D0", "C77", "C72", "S15", "S13", "C37", "C17", "C18", "D0"]]</x:v>
      </x:c>
    </x:row>
    <x:row r="247">
      <x:c r="A247" s="18" t="str">
        <x:v>results/week6/ablation_no_local_search/alns_evrptw_summary.csv</x:v>
      </x:c>
      <x:c r="B247" s="18" t="str">
        <x:v>No_Local_Search</x:v>
      </x:c>
      <x:c r="C247" s="18" t="str">
        <x:v>ALNS_EVRPTW_FULL_RECHARGE</x:v>
      </x:c>
      <x:c r="D247" s="18" t="str">
        <x:v>r202C5</x:v>
      </x:c>
      <x:c r="E247" s="19" t="n">
        <x:v>66</x:v>
      </x:c>
      <x:c r="F247" s="18" t="str">
        <x:v>R</x:v>
      </x:c>
      <x:c r="G247" s="19" t="n">
        <x:v>5</x:v>
      </x:c>
      <x:c r="H247" s="18" t="n">
        <x:v>1</x:v>
      </x:c>
      <x:c r="I247" s="19" t="n">
        <x:v>1</x:v>
      </x:c>
      <x:c r="J247" s="20" t="n">
        <x:v>128.777139</x:v>
      </x:c>
      <x:c r="K247" s="20" t="n">
        <x:v>1.158462</x:v>
      </x:c>
      <x:c r="L247" s="19" t="n">
        <x:v>1000</x:v>
      </x:c>
      <x:c r="M247" s="19" t="n">
        <x:v>0</x:v>
      </x:c>
      <x:c r="N247" s="19" t="n">
        <x:v>1000</x:v>
      </x:c>
      <x:c r="O247" s="19" t="n">
        <x:v>0</x:v>
      </x:c>
      <x:c r="P247" s="19" t="n">
        <x:v>1000</x:v>
      </x:c>
      <x:c r="Q247" s="19" t="n">
        <x:v>0</x:v>
      </x:c>
      <x:c r="R247" s="21" t="n">
        <x:f>P247/L247</x:f>
        <x:v>1</x:v>
      </x:c>
      <x:c r="S247" s="18" t="str">
        <x:v>iteration_limit</x:v>
      </x:c>
      <x:c r="T247" s="22" t="b">
        <x:v>0</x:v>
      </x:c>
      <x:c r="U247" s="19" t="n">
        <x:v>0</x:v>
      </x:c>
      <x:c r="V247" s="19" t="n">
        <x:v>0</x:v>
      </x:c>
      <x:c r="W247" s="19" t="n">
        <x:v>0</x:v>
      </x:c>
      <x:c r="X247" s="22" t="b">
        <x:v>0</x:v>
      </x:c>
      <x:c r="Y247" s="20" t="n">
        <x:v>0</x:v>
      </x:c>
      <x:c r="Z247" s="20" t="n">
        <x:v>0</x:v>
      </x:c>
      <x:c r="AA247" s="20" t="n">
        <x:v>0</x:v>
      </x:c>
      <x:c r="AB247" s="20" t="n">
        <x:v>0.273651</x:v>
      </x:c>
      <x:c r="AC247" s="20" t="n">
        <x:v>2</x:v>
      </x:c>
      <x:c r="AD247" s="20" t="n">
        <x:v>36.590343</x:v>
      </x:c>
      <x:c r="AE247" s="20" t="n">
        <x:v>213.443906</x:v>
      </x:c>
      <x:c r="AF247" s="18" t="str">
        <x:v>{"random_removal": 0.011529215046068483, "related_removal": 0.011529215046068483, "worst_removal": 0.011529215046068483}</x:v>
      </x:c>
      <x:c r="AG247" s="18" t="str">
        <x:v>{"greedy_insertion": 0.011529215046068483, "regret_2_insertion": 0.011529215046068483}</x:v>
      </x:c>
      <x:c r="AH247" s="18" t="str">
        <x:v>[["D0", "C77", "C72", "S15", "S13", "C37", "C17", "C18", "D0"]]</x:v>
      </x:c>
    </x:row>
    <x:row r="248">
      <x:c r="A248" s="18" t="str">
        <x:v>results/week6/ablation_no_local_search/alns_evrptw_summary.csv</x:v>
      </x:c>
      <x:c r="B248" s="18" t="str">
        <x:v>No_Local_Search</x:v>
      </x:c>
      <x:c r="C248" s="18" t="str">
        <x:v>ALNS_EVRPTW_FULL_RECHARGE</x:v>
      </x:c>
      <x:c r="D248" s="18" t="str">
        <x:v>r201C10</x:v>
      </x:c>
      <x:c r="E248" s="19" t="n">
        <x:v>64</x:v>
      </x:c>
      <x:c r="F248" s="18" t="str">
        <x:v>R</x:v>
      </x:c>
      <x:c r="G248" s="19" t="n">
        <x:v>10</x:v>
      </x:c>
      <x:c r="H248" s="18" t="n">
        <x:v>1</x:v>
      </x:c>
      <x:c r="I248" s="19" t="n">
        <x:v>1</x:v>
      </x:c>
      <x:c r="J248" s="20" t="n">
        <x:v>241.505881</x:v>
      </x:c>
      <x:c r="K248" s="20" t="n">
        <x:v>12.600579</x:v>
      </x:c>
      <x:c r="L248" s="19" t="n">
        <x:v>1000</x:v>
      </x:c>
      <x:c r="M248" s="19" t="n">
        <x:v>13</x:v>
      </x:c>
      <x:c r="N248" s="19" t="n">
        <x:v>967</x:v>
      </x:c>
      <x:c r="O248" s="19" t="n">
        <x:v>5</x:v>
      </x:c>
      <x:c r="P248" s="19" t="n">
        <x:v>962</x:v>
      </x:c>
      <x:c r="Q248" s="19" t="n">
        <x:v>0</x:v>
      </x:c>
      <x:c r="R248" s="21" t="n">
        <x:f>P248/L248</x:f>
        <x:v>0.962</x:v>
      </x:c>
      <x:c r="S248" s="18" t="str">
        <x:v>iteration_limit</x:v>
      </x:c>
      <x:c r="T248" s="22" t="b">
        <x:v>0</x:v>
      </x:c>
      <x:c r="U248" s="19" t="n">
        <x:v>0</x:v>
      </x:c>
      <x:c r="V248" s="19" t="n">
        <x:v>0</x:v>
      </x:c>
      <x:c r="W248" s="19" t="n">
        <x:v>0</x:v>
      </x:c>
      <x:c r="X248" s="22" t="b">
        <x:v>0</x:v>
      </x:c>
      <x:c r="Y248" s="20" t="n">
        <x:v>0</x:v>
      </x:c>
      <x:c r="Z248" s="20" t="n">
        <x:v>0</x:v>
      </x:c>
      <x:c r="AA248" s="20" t="n">
        <x:v>0</x:v>
      </x:c>
      <x:c r="AB248" s="20" t="n">
        <x:v>0.230403</x:v>
      </x:c>
      <x:c r="AC248" s="20" t="n">
        <x:v>5</x:v>
      </x:c>
      <x:c r="AD248" s="20" t="n">
        <x:v>104.664649</x:v>
      </x:c>
      <x:c r="AE248" s="20" t="n">
        <x:v>254.516503</x:v>
      </x:c>
      <x:c r="AF248" s="18" t="str">
        <x:v>{"random_removal": 0.01374637178569704, "related_removal": 0.013046217025814334, "worst_removal": 0.01232985497982324}</x:v>
      </x:c>
      <x:c r="AG248" s="18" t="str">
        <x:v>{"greedy_insertion": 0.013258597302978754, "regret_2_insertion": 0.012682136550675334}</x:v>
      </x:c>
      <x:c r="AH248" s="18" t="str">
        <x:v>[["D0", "C100", "S15", "C72", "C77", "C28", "S0", "C18", "C84", "S13", "C94", "S0", "C50", "C32", "S5", "C31", "D0"]]</x:v>
      </x:c>
    </x:row>
    <x:row r="249">
      <x:c r="A249" s="18" t="str">
        <x:v>results/week6/ablation_no_local_search/alns_evrptw_summary.csv</x:v>
      </x:c>
      <x:c r="B249" s="18" t="str">
        <x:v>No_Local_Search</x:v>
      </x:c>
      <x:c r="C249" s="18" t="str">
        <x:v>ALNS_EVRPTW_FULL_RECHARGE</x:v>
      </x:c>
      <x:c r="D249" s="18" t="str">
        <x:v>r201C10</x:v>
      </x:c>
      <x:c r="E249" s="19" t="n">
        <x:v>65</x:v>
      </x:c>
      <x:c r="F249" s="18" t="str">
        <x:v>R</x:v>
      </x:c>
      <x:c r="G249" s="19" t="n">
        <x:v>10</x:v>
      </x:c>
      <x:c r="H249" s="18" t="n">
        <x:v>1</x:v>
      </x:c>
      <x:c r="I249" s="19" t="n">
        <x:v>1</x:v>
      </x:c>
      <x:c r="J249" s="20" t="n">
        <x:v>241.505881</x:v>
      </x:c>
      <x:c r="K249" s="20" t="n">
        <x:v>12.547785</x:v>
      </x:c>
      <x:c r="L249" s="19" t="n">
        <x:v>1000</x:v>
      </x:c>
      <x:c r="M249" s="19" t="n">
        <x:v>10</x:v>
      </x:c>
      <x:c r="N249" s="19" t="n">
        <x:v>967</x:v>
      </x:c>
      <x:c r="O249" s="19" t="n">
        <x:v>2</x:v>
      </x:c>
      <x:c r="P249" s="19" t="n">
        <x:v>965</x:v>
      </x:c>
      <x:c r="Q249" s="19" t="n">
        <x:v>0</x:v>
      </x:c>
      <x:c r="R249" s="21" t="n">
        <x:f>P249/L249</x:f>
        <x:v>0.965</x:v>
      </x:c>
      <x:c r="S249" s="18" t="str">
        <x:v>iteration_limit</x:v>
      </x:c>
      <x:c r="T249" s="22" t="b">
        <x:v>0</x:v>
      </x:c>
      <x:c r="U249" s="19" t="n">
        <x:v>0</x:v>
      </x:c>
      <x:c r="V249" s="19" t="n">
        <x:v>0</x:v>
      </x:c>
      <x:c r="W249" s="19" t="n">
        <x:v>0</x:v>
      </x:c>
      <x:c r="X249" s="22" t="b">
        <x:v>0</x:v>
      </x:c>
      <x:c r="Y249" s="20" t="n">
        <x:v>0</x:v>
      </x:c>
      <x:c r="Z249" s="20" t="n">
        <x:v>0</x:v>
      </x:c>
      <x:c r="AA249" s="20" t="n">
        <x:v>0</x:v>
      </x:c>
      <x:c r="AB249" s="20" t="n">
        <x:v>0.230403</x:v>
      </x:c>
      <x:c r="AC249" s="20" t="n">
        <x:v>5</x:v>
      </x:c>
      <x:c r="AD249" s="20" t="n">
        <x:v>104.664649</x:v>
      </x:c>
      <x:c r="AE249" s="20" t="n">
        <x:v>254.516503</x:v>
      </x:c>
      <x:c r="AF249" s="18" t="str">
        <x:v>{"random_removal": 0.012287716035941407, "related_removal": 0.011529215046068483, "worst_removal": 0.012287716035941407}</x:v>
      </x:c>
      <x:c r="AG249" s="18" t="str">
        <x:v>{"greedy_insertion": 0.011529215046068483, "regret_2_insertion": 0.012596734957741489}</x:v>
      </x:c>
      <x:c r="AH249" s="18" t="str">
        <x:v>[["D0", "C100", "S15", "C72", "C77", "C28", "S0", "C18", "C84", "S13", "C94", "S0", "C50", "C32", "S5", "C31", "D0"]]</x:v>
      </x:c>
    </x:row>
    <x:row r="250">
      <x:c r="A250" s="18" t="str">
        <x:v>results/week6/ablation_no_local_search/alns_evrptw_summary.csv</x:v>
      </x:c>
      <x:c r="B250" s="18" t="str">
        <x:v>No_Local_Search</x:v>
      </x:c>
      <x:c r="C250" s="18" t="str">
        <x:v>ALNS_EVRPTW_FULL_RECHARGE</x:v>
      </x:c>
      <x:c r="D250" s="18" t="str">
        <x:v>r201C10</x:v>
      </x:c>
      <x:c r="E250" s="19" t="n">
        <x:v>66</x:v>
      </x:c>
      <x:c r="F250" s="18" t="str">
        <x:v>R</x:v>
      </x:c>
      <x:c r="G250" s="19" t="n">
        <x:v>10</x:v>
      </x:c>
      <x:c r="H250" s="18" t="n">
        <x:v>1</x:v>
      </x:c>
      <x:c r="I250" s="19" t="n">
        <x:v>2</x:v>
      </x:c>
      <x:c r="J250" s="20" t="n">
        <x:v>228.355271</x:v>
      </x:c>
      <x:c r="K250" s="20" t="n">
        <x:v>7.458426</x:v>
      </x:c>
      <x:c r="L250" s="19" t="n">
        <x:v>1000</x:v>
      </x:c>
      <x:c r="M250" s="19" t="n">
        <x:v>183</x:v>
      </x:c>
      <x:c r="N250" s="19" t="n">
        <x:v>999</x:v>
      </x:c>
      <x:c r="O250" s="19" t="n">
        <x:v>7</x:v>
      </x:c>
      <x:c r="P250" s="19" t="n">
        <x:v>990</x:v>
      </x:c>
      <x:c r="Q250" s="19" t="n">
        <x:v>2</x:v>
      </x:c>
      <x:c r="R250" s="21" t="n">
        <x:f>P250/L250</x:f>
        <x:v>0.99</x:v>
      </x:c>
      <x:c r="S250" s="18" t="str">
        <x:v>iteration_limit</x:v>
      </x:c>
      <x:c r="T250" s="22" t="b">
        <x:v>0</x:v>
      </x:c>
      <x:c r="U250" s="19" t="n">
        <x:v>0</x:v>
      </x:c>
      <x:c r="V250" s="19" t="n">
        <x:v>0</x:v>
      </x:c>
      <x:c r="W250" s="19" t="n">
        <x:v>0</x:v>
      </x:c>
      <x:c r="X250" s="22" t="b">
        <x:v>0</x:v>
      </x:c>
      <x:c r="Y250" s="20" t="n">
        <x:v>0</x:v>
      </x:c>
      <x:c r="Z250" s="20" t="n">
        <x:v>0</x:v>
      </x:c>
      <x:c r="AA250" s="20" t="n">
        <x:v>0</x:v>
      </x:c>
      <x:c r="AB250" s="20" t="n">
        <x:v>4.088911</x:v>
      </x:c>
      <x:c r="AC250" s="20" t="n">
        <x:v>3</x:v>
      </x:c>
      <x:c r="AD250" s="20" t="n">
        <x:v>72.475779</x:v>
      </x:c>
      <x:c r="AE250" s="20" t="n">
        <x:v>780.520216</x:v>
      </x:c>
      <x:c r="AF250" s="18" t="str">
        <x:v>{"random_removal": 0.01759716598631167, "related_removal": 0.014665650500844367, "worst_removal": 0.011529215046068483}</x:v>
      </x:c>
      <x:c r="AG250" s="18" t="str">
        <x:v>{"greedy_insertion": 0.013903760026068343, "regret_2_insertion": 0.013732514556074363}</x:v>
      </x:c>
      <x:c r="AH250" s="18" t="str">
        <x:v>[["D0", "C72", "C100", "S13", "C84", "C18", "C94", "D0"], ["D0", "C77", "C28", "S0", "C50", "C32", "S5", "C31", "D0"]]</x:v>
      </x:c>
    </x:row>
    <x:row r="251">
      <x:c r="A251" s="18" t="str">
        <x:v>results/week6/ablation_no_local_search/alns_evrptw_summary.csv</x:v>
      </x:c>
      <x:c r="B251" s="18" t="str">
        <x:v>No_Local_Search</x:v>
      </x:c>
      <x:c r="C251" s="18" t="str">
        <x:v>ALNS_EVRPTW_FULL_RECHARGE</x:v>
      </x:c>
      <x:c r="D251" s="18" t="str">
        <x:v>r202C15</x:v>
      </x:c>
      <x:c r="E251" s="19" t="n">
        <x:v>64</x:v>
      </x:c>
      <x:c r="F251" s="18" t="str">
        <x:v>R</x:v>
      </x:c>
      <x:c r="G251" s="19" t="n">
        <x:v>15</x:v>
      </x:c>
      <x:c r="H251" s="18" t="n">
        <x:v>1</x:v>
      </x:c>
      <x:c r="I251" s="19" t="n">
        <x:v>2</x:v>
      </x:c>
      <x:c r="J251" s="20" t="n">
        <x:v>358.004778</x:v>
      </x:c>
      <x:c r="K251" s="20" t="n">
        <x:v>85.715835</x:v>
      </x:c>
      <x:c r="L251" s="19" t="n">
        <x:v>1000</x:v>
      </x:c>
      <x:c r="M251" s="19" t="n">
        <x:v>38</x:v>
      </x:c>
      <x:c r="N251" s="19" t="n">
        <x:v>970</x:v>
      </x:c>
      <x:c r="O251" s="19" t="n">
        <x:v>5</x:v>
      </x:c>
      <x:c r="P251" s="19" t="n">
        <x:v>964</x:v>
      </x:c>
      <x:c r="Q251" s="19" t="n">
        <x:v>1</x:v>
      </x:c>
      <x:c r="R251" s="21" t="n">
        <x:f>P251/L251</x:f>
        <x:v>0.964</x:v>
      </x:c>
      <x:c r="S251" s="18" t="str">
        <x:v>iteration_limit</x:v>
      </x:c>
      <x:c r="T251" s="22" t="b">
        <x:v>0</x:v>
      </x:c>
      <x:c r="U251" s="19" t="n">
        <x:v>0</x:v>
      </x:c>
      <x:c r="V251" s="19" t="n">
        <x:v>0</x:v>
      </x:c>
      <x:c r="W251" s="19" t="n">
        <x:v>0</x:v>
      </x:c>
      <x:c r="X251" s="22" t="b">
        <x:v>0</x:v>
      </x:c>
      <x:c r="Y251" s="20" t="n">
        <x:v>0</x:v>
      </x:c>
      <x:c r="Z251" s="20" t="n">
        <x:v>0</x:v>
      </x:c>
      <x:c r="AA251" s="20" t="n">
        <x:v>0</x:v>
      </x:c>
      <x:c r="AB251" s="20" t="n">
        <x:v>2.718822</x:v>
      </x:c>
      <x:c r="AC251" s="20" t="n">
        <x:v>6</x:v>
      </x:c>
      <x:c r="AD251" s="20" t="n">
        <x:v>126.212259</x:v>
      </x:c>
      <x:c r="AE251" s="20" t="n">
        <x:v>772.315542</x:v>
      </x:c>
      <x:c r="AF251" s="18" t="str">
        <x:v>{"random_removal": 0.013224687846960912, "related_removal": 0.012682136550675334, "worst_removal": 0.013130494913577992}</x:v>
      </x:c>
      <x:c r="AG251" s="18" t="str">
        <x:v>{"greedy_insertion": 0.012249790986447762, "regret_2_insertion": 0.013546827679130466}</x:v>
      </x:c>
      <x:c r="AH251" s="18" t="str">
        <x:v>[["D0", "C79", "C70", "S5", "C11", "C46", "C48", "S9", "C61", "S13", "C87", "C85", "D0"], ["D0", "S13", "C44", "C38", "C42", "S15", "C72", "C23", "S19", "C25", "C41", "D0"]]</x:v>
      </x:c>
    </x:row>
    <x:row r="252">
      <x:c r="A252" s="18" t="str">
        <x:v>results/week6/ablation_no_local_search/alns_evrptw_summary.csv</x:v>
      </x:c>
      <x:c r="B252" s="18" t="str">
        <x:v>No_Local_Search</x:v>
      </x:c>
      <x:c r="C252" s="18" t="str">
        <x:v>ALNS_EVRPTW_FULL_RECHARGE</x:v>
      </x:c>
      <x:c r="D252" s="18" t="str">
        <x:v>r202C15</x:v>
      </x:c>
      <x:c r="E252" s="19" t="n">
        <x:v>65</x:v>
      </x:c>
      <x:c r="F252" s="18" t="str">
        <x:v>R</x:v>
      </x:c>
      <x:c r="G252" s="19" t="n">
        <x:v>15</x:v>
      </x:c>
      <x:c r="H252" s="18" t="n">
        <x:v>1</x:v>
      </x:c>
      <x:c r="I252" s="19" t="n">
        <x:v>2</x:v>
      </x:c>
      <x:c r="J252" s="20" t="n">
        <x:v>394.973877</x:v>
      </x:c>
      <x:c r="K252" s="20" t="n">
        <x:v>138.936296</x:v>
      </x:c>
      <x:c r="L252" s="19" t="n">
        <x:v>1000</x:v>
      </x:c>
      <x:c r="M252" s="19" t="n">
        <x:v>71</x:v>
      </x:c>
      <x:c r="N252" s="19" t="n">
        <x:v>867</x:v>
      </x:c>
      <x:c r="O252" s="19" t="n">
        <x:v>3</x:v>
      </x:c>
      <x:c r="P252" s="19" t="n">
        <x:v>863</x:v>
      </x:c>
      <x:c r="Q252" s="19" t="n">
        <x:v>1</x:v>
      </x:c>
      <x:c r="R252" s="21" t="n">
        <x:f>P252/L252</x:f>
        <x:v>0.863</x:v>
      </x:c>
      <x:c r="S252" s="18" t="str">
        <x:v>iteration_limit</x:v>
      </x:c>
      <x:c r="T252" s="22" t="b">
        <x:v>0</x:v>
      </x:c>
      <x:c r="U252" s="19" t="n">
        <x:v>0</x:v>
      </x:c>
      <x:c r="V252" s="19" t="n">
        <x:v>0</x:v>
      </x:c>
      <x:c r="W252" s="19" t="n">
        <x:v>0</x:v>
      </x:c>
      <x:c r="X252" s="22" t="b">
        <x:v>0</x:v>
      </x:c>
      <x:c r="Y252" s="20" t="n">
        <x:v>0</x:v>
      </x:c>
      <x:c r="Z252" s="20" t="n">
        <x:v>0</x:v>
      </x:c>
      <x:c r="AA252" s="20" t="n">
        <x:v>0</x:v>
      </x:c>
      <x:c r="AB252" s="20" t="n">
        <x:v>2.718822</x:v>
      </x:c>
      <x:c r="AC252" s="20" t="n">
        <x:v>6</x:v>
      </x:c>
      <x:c r="AD252" s="20" t="n">
        <x:v>137.379858</x:v>
      </x:c>
      <x:c r="AE252" s="20" t="n">
        <x:v>890.273908</x:v>
      </x:c>
      <x:c r="AF252" s="18" t="str">
        <x:v>{"random_removal": 0.013489605472100347, "related_removal": 0.012194362067957046, "worst_removal": 0.011529215046068483}</x:v>
      </x:c>
      <x:c r="AG252" s="18" t="str">
        <x:v>{"greedy_insertion": 0.012987523496836071, "regret_2_insertion": 0.012194362067957046}</x:v>
      </x:c>
      <x:c r="AH252" s="18" t="str">
        <x:v>[["D0", "S13", "C44", "C38", "C42", "S13", "C46", "C48", "S9", "C61", "C87", "S13", "C85", "C11", "S5", "C70", "C79", "D0"], ["D0", "C72", "C23", "S19", "C25", "C41", "D0"]]</x:v>
      </x:c>
    </x:row>
    <x:row r="253">
      <x:c r="A253" s="18" t="str">
        <x:v>results/week6/ablation_no_local_search/alns_evrptw_summary.csv</x:v>
      </x:c>
      <x:c r="B253" s="18" t="str">
        <x:v>No_Local_Search</x:v>
      </x:c>
      <x:c r="C253" s="18" t="str">
        <x:v>ALNS_EVRPTW_FULL_RECHARGE</x:v>
      </x:c>
      <x:c r="D253" s="18" t="str">
        <x:v>r202C15</x:v>
      </x:c>
      <x:c r="E253" s="19" t="n">
        <x:v>66</x:v>
      </x:c>
      <x:c r="F253" s="18" t="str">
        <x:v>R</x:v>
      </x:c>
      <x:c r="G253" s="19" t="n">
        <x:v>15</x:v>
      </x:c>
      <x:c r="H253" s="18" t="n">
        <x:v>1</x:v>
      </x:c>
      <x:c r="I253" s="19" t="n">
        <x:v>2</x:v>
      </x:c>
      <x:c r="J253" s="20" t="n">
        <x:v>394.973877</x:v>
      </x:c>
      <x:c r="K253" s="20" t="n">
        <x:v>140.648469</x:v>
      </x:c>
      <x:c r="L253" s="19" t="n">
        <x:v>1000</x:v>
      </x:c>
      <x:c r="M253" s="19" t="n">
        <x:v>136</x:v>
      </x:c>
      <x:c r="N253" s="19" t="n">
        <x:v>877</x:v>
      </x:c>
      <x:c r="O253" s="19" t="n">
        <x:v>12</x:v>
      </x:c>
      <x:c r="P253" s="19" t="n">
        <x:v>857</x:v>
      </x:c>
      <x:c r="Q253" s="19" t="n">
        <x:v>8</x:v>
      </x:c>
      <x:c r="R253" s="21" t="n">
        <x:f>P253/L253</x:f>
        <x:v>0.857</x:v>
      </x:c>
      <x:c r="S253" s="18" t="str">
        <x:v>iteration_limit</x:v>
      </x:c>
      <x:c r="T253" s="22" t="b">
        <x:v>0</x:v>
      </x:c>
      <x:c r="U253" s="19" t="n">
        <x:v>0</x:v>
      </x:c>
      <x:c r="V253" s="19" t="n">
        <x:v>0</x:v>
      </x:c>
      <x:c r="W253" s="19" t="n">
        <x:v>0</x:v>
      </x:c>
      <x:c r="X253" s="22" t="b">
        <x:v>0</x:v>
      </x:c>
      <x:c r="Y253" s="20" t="n">
        <x:v>0</x:v>
      </x:c>
      <x:c r="Z253" s="20" t="n">
        <x:v>0</x:v>
      </x:c>
      <x:c r="AA253" s="20" t="n">
        <x:v>0</x:v>
      </x:c>
      <x:c r="AB253" s="20" t="n">
        <x:v>2.718822</x:v>
      </x:c>
      <x:c r="AC253" s="20" t="n">
        <x:v>6</x:v>
      </x:c>
      <x:c r="AD253" s="20" t="n">
        <x:v>137.379858</x:v>
      </x:c>
      <x:c r="AE253" s="20" t="n">
        <x:v>890.273908</x:v>
      </x:c>
      <x:c r="AF253" s="18" t="str">
        <x:v>{"random_removal": 0.01637982887630585, "related_removal": 0.016865018296889838, "worst_removal": 0.012530014963261933}</x:v>
      </x:c>
      <x:c r="AG253" s="18" t="str">
        <x:v>{"greedy_insertion": 0.016088721427433932, "regret_2_insertion": 0.014668867357721058}</x:v>
      </x:c>
      <x:c r="AH253" s="18" t="str">
        <x:v>[["D0", "S13", "C44", "C38", "C42", "S13", "C46", "C48", "S9", "C61", "C87", "S13", "C85", "C11", "S5", "C70", "C79", "D0"], ["D0", "C72", "C23", "S19", "C25", "C41", "D0"]]</x:v>
      </x:c>
    </x:row>
    <x:row r="254">
      <x:c r="A254" s="18" t="str">
        <x:v>results/week6/ablation_no_local_search/alns_evrptw_summary.csv</x:v>
      </x:c>
      <x:c r="B254" s="18" t="str">
        <x:v>No_Local_Search</x:v>
      </x:c>
      <x:c r="C254" s="18" t="str">
        <x:v>ALNS_EVRPTW_FULL_RECHARGE</x:v>
      </x:c>
      <x:c r="D254" s="18" t="str">
        <x:v>rc105C5</x:v>
      </x:c>
      <x:c r="E254" s="19" t="n">
        <x:v>64</x:v>
      </x:c>
      <x:c r="F254" s="18" t="str">
        <x:v>RC</x:v>
      </x:c>
      <x:c r="G254" s="19" t="n">
        <x:v>5</x:v>
      </x:c>
      <x:c r="H254" s="18" t="n">
        <x:v>1</x:v>
      </x:c>
      <x:c r="I254" s="19" t="n">
        <x:v>3</x:v>
      </x:c>
      <x:c r="J254" s="20" t="n">
        <x:v>238.052232</x:v>
      </x:c>
      <x:c r="K254" s="20" t="n">
        <x:v>0.569182</x:v>
      </x:c>
      <x:c r="L254" s="19" t="n">
        <x:v>1000</x:v>
      </x:c>
      <x:c r="M254" s="19" t="n">
        <x:v>0</x:v>
      </x:c>
      <x:c r="N254" s="19" t="n">
        <x:v>1000</x:v>
      </x:c>
      <x:c r="O254" s="19" t="n">
        <x:v>0</x:v>
      </x:c>
      <x:c r="P254" s="19" t="n">
        <x:v>1000</x:v>
      </x:c>
      <x:c r="Q254" s="19" t="n">
        <x:v>0</x:v>
      </x:c>
      <x:c r="R254" s="21" t="n">
        <x:f>P254/L254</x:f>
        <x:v>1</x:v>
      </x:c>
      <x:c r="S254" s="18" t="str">
        <x:v>iteration_limit</x:v>
      </x:c>
      <x:c r="T254" s="22" t="b">
        <x:v>0</x:v>
      </x:c>
      <x:c r="U254" s="19" t="n">
        <x:v>0</x:v>
      </x:c>
      <x:c r="V254" s="19" t="n">
        <x:v>0</x:v>
      </x:c>
      <x:c r="W254" s="19" t="n">
        <x:v>0</x:v>
      </x:c>
      <x:c r="X254" s="22" t="b">
        <x:v>0</x:v>
      </x:c>
      <x:c r="Y254" s="20" t="n">
        <x:v>0</x:v>
      </x:c>
      <x:c r="Z254" s="20" t="n">
        <x:v>0</x:v>
      </x:c>
      <x:c r="AA254" s="20" t="n">
        <x:v>0</x:v>
      </x:c>
      <x:c r="AB254" s="20" t="n">
        <x:v>7.75</x:v>
      </x:c>
      <x:c r="AC254" s="20" t="n">
        <x:v>1</x:v>
      </x:c>
      <x:c r="AD254" s="20" t="n">
        <x:v>19.098411</x:v>
      </x:c>
      <x:c r="AE254" s="20" t="n">
        <x:v>110.096371</x:v>
      </x:c>
      <x:c r="AF254" s="18" t="str">
        <x:v>{"random_removal": 0.011529215046068483, "related_removal": 0.011529215046068483, "worst_removal": 0.011529215046068483}</x:v>
      </x:c>
      <x:c r="AG254" s="18" t="str">
        <x:v>{"greedy_insertion": 0.011529215046068483, "regret_2_insertion": 0.011529215046068483}</x:v>
      </x:c>
      <x:c r="AH254" s="18" t="str">
        <x:v>[["D0", "C55", "S3", "C36", "D0"], ["D0", "C11", "C82", "D0"], ["D0", "C22", "D0"]]</x:v>
      </x:c>
    </x:row>
    <x:row r="255">
      <x:c r="A255" s="18" t="str">
        <x:v>results/week6/ablation_no_local_search/alns_evrptw_summary.csv</x:v>
      </x:c>
      <x:c r="B255" s="18" t="str">
        <x:v>No_Local_Search</x:v>
      </x:c>
      <x:c r="C255" s="18" t="str">
        <x:v>ALNS_EVRPTW_FULL_RECHARGE</x:v>
      </x:c>
      <x:c r="D255" s="18" t="str">
        <x:v>rc105C5</x:v>
      </x:c>
      <x:c r="E255" s="19" t="n">
        <x:v>65</x:v>
      </x:c>
      <x:c r="F255" s="18" t="str">
        <x:v>RC</x:v>
      </x:c>
      <x:c r="G255" s="19" t="n">
        <x:v>5</x:v>
      </x:c>
      <x:c r="H255" s="18" t="n">
        <x:v>1</x:v>
      </x:c>
      <x:c r="I255" s="19" t="n">
        <x:v>3</x:v>
      </x:c>
      <x:c r="J255" s="20" t="n">
        <x:v>238.052232</x:v>
      </x:c>
      <x:c r="K255" s="20" t="n">
        <x:v>0.586442</x:v>
      </x:c>
      <x:c r="L255" s="19" t="n">
        <x:v>1000</x:v>
      </x:c>
      <x:c r="M255" s="19" t="n">
        <x:v>0</x:v>
      </x:c>
      <x:c r="N255" s="19" t="n">
        <x:v>1000</x:v>
      </x:c>
      <x:c r="O255" s="19" t="n">
        <x:v>0</x:v>
      </x:c>
      <x:c r="P255" s="19" t="n">
        <x:v>1000</x:v>
      </x:c>
      <x:c r="Q255" s="19" t="n">
        <x:v>0</x:v>
      </x:c>
      <x:c r="R255" s="21" t="n">
        <x:f>P255/L255</x:f>
        <x:v>1</x:v>
      </x:c>
      <x:c r="S255" s="18" t="str">
        <x:v>iteration_limit</x:v>
      </x:c>
      <x:c r="T255" s="22" t="b">
        <x:v>0</x:v>
      </x:c>
      <x:c r="U255" s="19" t="n">
        <x:v>0</x:v>
      </x:c>
      <x:c r="V255" s="19" t="n">
        <x:v>0</x:v>
      </x:c>
      <x:c r="W255" s="19" t="n">
        <x:v>0</x:v>
      </x:c>
      <x:c r="X255" s="22" t="b">
        <x:v>0</x:v>
      </x:c>
      <x:c r="Y255" s="20" t="n">
        <x:v>0</x:v>
      </x:c>
      <x:c r="Z255" s="20" t="n">
        <x:v>0</x:v>
      </x:c>
      <x:c r="AA255" s="20" t="n">
        <x:v>0</x:v>
      </x:c>
      <x:c r="AB255" s="20" t="n">
        <x:v>7.75</x:v>
      </x:c>
      <x:c r="AC255" s="20" t="n">
        <x:v>1</x:v>
      </x:c>
      <x:c r="AD255" s="20" t="n">
        <x:v>19.098411</x:v>
      </x:c>
      <x:c r="AE255" s="20" t="n">
        <x:v>110.096371</x:v>
      </x:c>
      <x:c r="AF255" s="18" t="str">
        <x:v>{"random_removal": 0.011529215046068483, "related_removal": 0.011529215046068483, "worst_removal": 0.011529215046068483}</x:v>
      </x:c>
      <x:c r="AG255" s="18" t="str">
        <x:v>{"greedy_insertion": 0.011529215046068483, "regret_2_insertion": 0.011529215046068483}</x:v>
      </x:c>
      <x:c r="AH255" s="18" t="str">
        <x:v>[["D0", "C55", "S3", "C36", "D0"], ["D0", "C11", "C82", "D0"], ["D0", "C22", "D0"]]</x:v>
      </x:c>
    </x:row>
    <x:row r="256">
      <x:c r="A256" s="18" t="str">
        <x:v>results/week6/ablation_no_local_search/alns_evrptw_summary.csv</x:v>
      </x:c>
      <x:c r="B256" s="18" t="str">
        <x:v>No_Local_Search</x:v>
      </x:c>
      <x:c r="C256" s="18" t="str">
        <x:v>ALNS_EVRPTW_FULL_RECHARGE</x:v>
      </x:c>
      <x:c r="D256" s="18" t="str">
        <x:v>rc105C5</x:v>
      </x:c>
      <x:c r="E256" s="19" t="n">
        <x:v>66</x:v>
      </x:c>
      <x:c r="F256" s="18" t="str">
        <x:v>RC</x:v>
      </x:c>
      <x:c r="G256" s="19" t="n">
        <x:v>5</x:v>
      </x:c>
      <x:c r="H256" s="18" t="n">
        <x:v>1</x:v>
      </x:c>
      <x:c r="I256" s="19" t="n">
        <x:v>3</x:v>
      </x:c>
      <x:c r="J256" s="20" t="n">
        <x:v>238.052232</x:v>
      </x:c>
      <x:c r="K256" s="20" t="n">
        <x:v>0.554824</x:v>
      </x:c>
      <x:c r="L256" s="19" t="n">
        <x:v>1000</x:v>
      </x:c>
      <x:c r="M256" s="19" t="n">
        <x:v>0</x:v>
      </x:c>
      <x:c r="N256" s="19" t="n">
        <x:v>1000</x:v>
      </x:c>
      <x:c r="O256" s="19" t="n">
        <x:v>0</x:v>
      </x:c>
      <x:c r="P256" s="19" t="n">
        <x:v>1000</x:v>
      </x:c>
      <x:c r="Q256" s="19" t="n">
        <x:v>0</x:v>
      </x:c>
      <x:c r="R256" s="21" t="n">
        <x:f>P256/L256</x:f>
        <x:v>1</x:v>
      </x:c>
      <x:c r="S256" s="18" t="str">
        <x:v>iteration_limit</x:v>
      </x:c>
      <x:c r="T256" s="22" t="b">
        <x:v>0</x:v>
      </x:c>
      <x:c r="U256" s="19" t="n">
        <x:v>0</x:v>
      </x:c>
      <x:c r="V256" s="19" t="n">
        <x:v>0</x:v>
      </x:c>
      <x:c r="W256" s="19" t="n">
        <x:v>0</x:v>
      </x:c>
      <x:c r="X256" s="22" t="b">
        <x:v>0</x:v>
      </x:c>
      <x:c r="Y256" s="20" t="n">
        <x:v>0</x:v>
      </x:c>
      <x:c r="Z256" s="20" t="n">
        <x:v>0</x:v>
      </x:c>
      <x:c r="AA256" s="20" t="n">
        <x:v>0</x:v>
      </x:c>
      <x:c r="AB256" s="20" t="n">
        <x:v>7.75</x:v>
      </x:c>
      <x:c r="AC256" s="20" t="n">
        <x:v>1</x:v>
      </x:c>
      <x:c r="AD256" s="20" t="n">
        <x:v>19.098411</x:v>
      </x:c>
      <x:c r="AE256" s="20" t="n">
        <x:v>110.096371</x:v>
      </x:c>
      <x:c r="AF256" s="18" t="str">
        <x:v>{"random_removal": 0.011529215046068483, "related_removal": 0.011529215046068483, "worst_removal": 0.011529215046068483}</x:v>
      </x:c>
      <x:c r="AG256" s="18" t="str">
        <x:v>{"greedy_insertion": 0.011529215046068483, "regret_2_insertion": 0.011529215046068483}</x:v>
      </x:c>
      <x:c r="AH256" s="18" t="str">
        <x:v>[["D0", "C55", "S3", "C36", "D0"], ["D0", "C11", "C82", "D0"], ["D0", "C22", "D0"]]</x:v>
      </x:c>
    </x:row>
    <x:row r="257">
      <x:c r="A257" s="18" t="str">
        <x:v>results/week6/ablation_no_local_search/alns_evrptw_summary.csv</x:v>
      </x:c>
      <x:c r="B257" s="18" t="str">
        <x:v>No_Local_Search</x:v>
      </x:c>
      <x:c r="C257" s="18" t="str">
        <x:v>ALNS_EVRPTW_FULL_RECHARGE</x:v>
      </x:c>
      <x:c r="D257" s="18" t="str">
        <x:v>rc102C10</x:v>
      </x:c>
      <x:c r="E257" s="19" t="n">
        <x:v>64</x:v>
      </x:c>
      <x:c r="F257" s="18" t="str">
        <x:v>RC</x:v>
      </x:c>
      <x:c r="G257" s="19" t="n">
        <x:v>10</x:v>
      </x:c>
      <x:c r="H257" s="18" t="n">
        <x:v>1</x:v>
      </x:c>
      <x:c r="I257" s="19" t="n">
        <x:v>4</x:v>
      </x:c>
      <x:c r="J257" s="20" t="n">
        <x:v>423.510182</x:v>
      </x:c>
      <x:c r="K257" s="20" t="n">
        <x:v>4.820043</x:v>
      </x:c>
      <x:c r="L257" s="19" t="n">
        <x:v>1000</x:v>
      </x:c>
      <x:c r="M257" s="19" t="n">
        <x:v>0</x:v>
      </x:c>
      <x:c r="N257" s="19" t="n">
        <x:v>973</x:v>
      </x:c>
      <x:c r="O257" s="19" t="n">
        <x:v>1</x:v>
      </x:c>
      <x:c r="P257" s="19" t="n">
        <x:v>971</x:v>
      </x:c>
      <x:c r="Q257" s="19" t="n">
        <x:v>1</x:v>
      </x:c>
      <x:c r="R257" s="21" t="n">
        <x:f>P257/L257</x:f>
        <x:v>0.971</x:v>
      </x:c>
      <x:c r="S257" s="18" t="str">
        <x:v>iteration_limit</x:v>
      </x:c>
      <x:c r="T257" s="22" t="b">
        <x:v>0</x:v>
      </x:c>
      <x:c r="U257" s="19" t="n">
        <x:v>0</x:v>
      </x:c>
      <x:c r="V257" s="19" t="n">
        <x:v>0</x:v>
      </x:c>
      <x:c r="W257" s="19" t="n">
        <x:v>0</x:v>
      </x:c>
      <x:c r="X257" s="22" t="b">
        <x:v>0</x:v>
      </x:c>
      <x:c r="Y257" s="20" t="n">
        <x:v>0</x:v>
      </x:c>
      <x:c r="Z257" s="20" t="n">
        <x:v>0</x:v>
      </x:c>
      <x:c r="AA257" s="20" t="n">
        <x:v>0</x:v>
      </x:c>
      <x:c r="AB257" s="20" t="n">
        <x:v>0.51776</x:v>
      </x:c>
      <x:c r="AC257" s="20" t="n">
        <x:v>3</x:v>
      </x:c>
      <x:c r="AD257" s="20" t="n">
        <x:v>69.382613</x:v>
      </x:c>
      <x:c r="AE257" s="20" t="n">
        <x:v>86.835319</x:v>
      </x:c>
      <x:c r="AF257" s="18" t="str">
        <x:v>{"random_removal": 0.012376951446514697, "related_removal": 0.011529215046068483, "worst_removal": 0.011529215046068483}</x:v>
      </x:c>
      <x:c r="AG257" s="18" t="str">
        <x:v>{"greedy_insertion": 0.01167333023414434, "regret_2_insertion": 0.011961560610296053}</x:v>
      </x:c>
      <x:c r="AH257" s="18" t="str">
        <x:v>[["D0", "C57", "C49", "S15", "C92", "C54", "D0"], ["D0", "C44", "S1", "C26", "S19", "D0"], ["D0", "C45", "C70", "D0"], ["D0", "C53", "C11", "D0"]]</x:v>
      </x:c>
    </x:row>
    <x:row r="258">
      <x:c r="A258" s="18" t="str">
        <x:v>results/week6/ablation_no_local_search/alns_evrptw_summary.csv</x:v>
      </x:c>
      <x:c r="B258" s="18" t="str">
        <x:v>No_Local_Search</x:v>
      </x:c>
      <x:c r="C258" s="18" t="str">
        <x:v>ALNS_EVRPTW_FULL_RECHARGE</x:v>
      </x:c>
      <x:c r="D258" s="18" t="str">
        <x:v>rc102C10</x:v>
      </x:c>
      <x:c r="E258" s="19" t="n">
        <x:v>65</x:v>
      </x:c>
      <x:c r="F258" s="18" t="str">
        <x:v>RC</x:v>
      </x:c>
      <x:c r="G258" s="19" t="n">
        <x:v>10</x:v>
      </x:c>
      <x:c r="H258" s="18" t="n">
        <x:v>1</x:v>
      </x:c>
      <x:c r="I258" s="19" t="n">
        <x:v>4</x:v>
      </x:c>
      <x:c r="J258" s="20" t="n">
        <x:v>423.510182</x:v>
      </x:c>
      <x:c r="K258" s="20" t="n">
        <x:v>4.885151</x:v>
      </x:c>
      <x:c r="L258" s="19" t="n">
        <x:v>1000</x:v>
      </x:c>
      <x:c r="M258" s="19" t="n">
        <x:v>0</x:v>
      </x:c>
      <x:c r="N258" s="19" t="n">
        <x:v>984</x:v>
      </x:c>
      <x:c r="O258" s="19" t="n">
        <x:v>0</x:v>
      </x:c>
      <x:c r="P258" s="19" t="n">
        <x:v>984</x:v>
      </x:c>
      <x:c r="Q258" s="19" t="n">
        <x:v>0</x:v>
      </x:c>
      <x:c r="R258" s="21" t="n">
        <x:f>P258/L258</x:f>
        <x:v>0.984</x:v>
      </x:c>
      <x:c r="S258" s="18" t="str">
        <x:v>iteration_limit</x:v>
      </x:c>
      <x:c r="T258" s="22" t="b">
        <x:v>0</x:v>
      </x:c>
      <x:c r="U258" s="19" t="n">
        <x:v>0</x:v>
      </x:c>
      <x:c r="V258" s="19" t="n">
        <x:v>0</x:v>
      </x:c>
      <x:c r="W258" s="19" t="n">
        <x:v>0</x:v>
      </x:c>
      <x:c r="X258" s="22" t="b">
        <x:v>0</x:v>
      </x:c>
      <x:c r="Y258" s="20" t="n">
        <x:v>0</x:v>
      </x:c>
      <x:c r="Z258" s="20" t="n">
        <x:v>0</x:v>
      </x:c>
      <x:c r="AA258" s="20" t="n">
        <x:v>0</x:v>
      </x:c>
      <x:c r="AB258" s="20" t="n">
        <x:v>0.51776</x:v>
      </x:c>
      <x:c r="AC258" s="20" t="n">
        <x:v>3</x:v>
      </x:c>
      <x:c r="AD258" s="20" t="n">
        <x:v>69.382613</x:v>
      </x:c>
      <x:c r="AE258" s="20" t="n">
        <x:v>86.835319</x:v>
      </x:c>
      <x:c r="AF258" s="18" t="str">
        <x:v>{"random_removal": 0.011529215046068483, "related_removal": 0.011529215046068483, "worst_removal": 0.011529215046068483}</x:v>
      </x:c>
      <x:c r="AG258" s="18" t="str">
        <x:v>{"greedy_insertion": 0.011529215046068483, "regret_2_insertion": 0.011529215046068483}</x:v>
      </x:c>
      <x:c r="AH258" s="18" t="str">
        <x:v>[["D0", "C57", "C49", "S15", "C92", "C54", "D0"], ["D0", "C44", "S1", "C26", "S19", "D0"], ["D0", "C45", "C70", "D0"], ["D0", "C53", "C11", "D0"]]</x:v>
      </x:c>
    </x:row>
    <x:row r="259">
      <x:c r="A259" s="18" t="str">
        <x:v>results/week6/ablation_no_local_search/alns_evrptw_summary.csv</x:v>
      </x:c>
      <x:c r="B259" s="18" t="str">
        <x:v>No_Local_Search</x:v>
      </x:c>
      <x:c r="C259" s="18" t="str">
        <x:v>ALNS_EVRPTW_FULL_RECHARGE</x:v>
      </x:c>
      <x:c r="D259" s="18" t="str">
        <x:v>rc102C10</x:v>
      </x:c>
      <x:c r="E259" s="19" t="n">
        <x:v>66</x:v>
      </x:c>
      <x:c r="F259" s="18" t="str">
        <x:v>RC</x:v>
      </x:c>
      <x:c r="G259" s="19" t="n">
        <x:v>10</x:v>
      </x:c>
      <x:c r="H259" s="18" t="n">
        <x:v>1</x:v>
      </x:c>
      <x:c r="I259" s="19" t="n">
        <x:v>4</x:v>
      </x:c>
      <x:c r="J259" s="20" t="n">
        <x:v>423.510182</x:v>
      </x:c>
      <x:c r="K259" s="20" t="n">
        <x:v>4.767204</x:v>
      </x:c>
      <x:c r="L259" s="19" t="n">
        <x:v>1000</x:v>
      </x:c>
      <x:c r="M259" s="19" t="n">
        <x:v>0</x:v>
      </x:c>
      <x:c r="N259" s="19" t="n">
        <x:v>970</x:v>
      </x:c>
      <x:c r="O259" s="19" t="n">
        <x:v>0</x:v>
      </x:c>
      <x:c r="P259" s="19" t="n">
        <x:v>970</x:v>
      </x:c>
      <x:c r="Q259" s="19" t="n">
        <x:v>0</x:v>
      </x:c>
      <x:c r="R259" s="21" t="n">
        <x:f>P259/L259</x:f>
        <x:v>0.97</x:v>
      </x:c>
      <x:c r="S259" s="18" t="str">
        <x:v>iteration_limit</x:v>
      </x:c>
      <x:c r="T259" s="22" t="b">
        <x:v>0</x:v>
      </x:c>
      <x:c r="U259" s="19" t="n">
        <x:v>0</x:v>
      </x:c>
      <x:c r="V259" s="19" t="n">
        <x:v>0</x:v>
      </x:c>
      <x:c r="W259" s="19" t="n">
        <x:v>0</x:v>
      </x:c>
      <x:c r="X259" s="22" t="b">
        <x:v>0</x:v>
      </x:c>
      <x:c r="Y259" s="20" t="n">
        <x:v>0</x:v>
      </x:c>
      <x:c r="Z259" s="20" t="n">
        <x:v>0</x:v>
      </x:c>
      <x:c r="AA259" s="20" t="n">
        <x:v>0</x:v>
      </x:c>
      <x:c r="AB259" s="20" t="n">
        <x:v>0.51776</x:v>
      </x:c>
      <x:c r="AC259" s="20" t="n">
        <x:v>3</x:v>
      </x:c>
      <x:c r="AD259" s="20" t="n">
        <x:v>69.382613</x:v>
      </x:c>
      <x:c r="AE259" s="20" t="n">
        <x:v>86.835319</x:v>
      </x:c>
      <x:c r="AF259" s="18" t="str">
        <x:v>{"random_removal": 0.011529215046068483, "related_removal": 0.011529215046068483, "worst_removal": 0.011529215046068483}</x:v>
      </x:c>
      <x:c r="AG259" s="18" t="str">
        <x:v>{"greedy_insertion": 0.011529215046068483, "regret_2_insertion": 0.011529215046068483}</x:v>
      </x:c>
      <x:c r="AH259" s="18" t="str">
        <x:v>[["D0", "C57", "C49", "S15", "C92", "C54", "D0"], ["D0", "C44", "S1", "C26", "S19", "D0"], ["D0", "C45", "C70", "D0"], ["D0", "C53", "C11", "D0"]]</x:v>
      </x:c>
    </x:row>
    <x:row r="260">
      <x:c r="A260" s="18" t="str">
        <x:v>results/week6/ablation_no_local_search/alns_evrptw_summary.csv</x:v>
      </x:c>
      <x:c r="B260" s="18" t="str">
        <x:v>No_Local_Search</x:v>
      </x:c>
      <x:c r="C260" s="18" t="str">
        <x:v>ALNS_EVRPTW_FULL_RECHARGE</x:v>
      </x:c>
      <x:c r="D260" s="18" t="str">
        <x:v>rc103C15</x:v>
      </x:c>
      <x:c r="E260" s="19" t="n">
        <x:v>64</x:v>
      </x:c>
      <x:c r="F260" s="18" t="str">
        <x:v>RC</x:v>
      </x:c>
      <x:c r="G260" s="19" t="n">
        <x:v>15</x:v>
      </x:c>
      <x:c r="H260" s="18" t="n">
        <x:v>1</x:v>
      </x:c>
      <x:c r="I260" s="19" t="n">
        <x:v>4</x:v>
      </x:c>
      <x:c r="J260" s="20" t="n">
        <x:v>397.669857</x:v>
      </x:c>
      <x:c r="K260" s="20" t="n">
        <x:v>29.708646</x:v>
      </x:c>
      <x:c r="L260" s="19" t="n">
        <x:v>1000</x:v>
      </x:c>
      <x:c r="M260" s="19" t="n">
        <x:v>10</x:v>
      </x:c>
      <x:c r="N260" s="19" t="n">
        <x:v>871</x:v>
      </x:c>
      <x:c r="O260" s="19" t="n">
        <x:v>22</x:v>
      </x:c>
      <x:c r="P260" s="19" t="n">
        <x:v>834</x:v>
      </x:c>
      <x:c r="Q260" s="19" t="n">
        <x:v>15</x:v>
      </x:c>
      <x:c r="R260" s="21" t="n">
        <x:f>P260/L260</x:f>
        <x:v>0.834</x:v>
      </x:c>
      <x:c r="S260" s="18" t="str">
        <x:v>iteration_limit</x:v>
      </x:c>
      <x:c r="T260" s="22" t="b">
        <x:v>0</x:v>
      </x:c>
      <x:c r="U260" s="19" t="n">
        <x:v>0</x:v>
      </x:c>
      <x:c r="V260" s="19" t="n">
        <x:v>0</x:v>
      </x:c>
      <x:c r="W260" s="19" t="n">
        <x:v>0</x:v>
      </x:c>
      <x:c r="X260" s="22" t="b">
        <x:v>0</x:v>
      </x:c>
      <x:c r="Y260" s="20" t="n">
        <x:v>0</x:v>
      </x:c>
      <x:c r="Z260" s="20" t="n">
        <x:v>0</x:v>
      </x:c>
      <x:c r="AA260" s="20" t="n">
        <x:v>0</x:v>
      </x:c>
      <x:c r="AB260" s="20" t="n">
        <x:v>9.161259</x:v>
      </x:c>
      <x:c r="AC260" s="20" t="n">
        <x:v>4</x:v>
      </x:c>
      <x:c r="AD260" s="20" t="n">
        <x:v>70.648986</x:v>
      </x:c>
      <x:c r="AE260" s="20" t="n">
        <x:v>201.597326</x:v>
      </x:c>
      <x:c r="AF260" s="18" t="str">
        <x:v>{"random_removal": 0.017199528451904655, "related_removal": 0.02575803858836767, "worst_removal": 0.025144492672396906}</x:v>
      </x:c>
      <x:c r="AG260" s="18" t="str">
        <x:v>{"greedy_insertion": 0.024441493266763176, "regret_2_insertion": 0.019733922300681293}</x:v>
      </x:c>
      <x:c r="AH260" s="18" t="str">
        <x:v>[["D0", "C65", "C83", "C87", "S11", "C15", "D0"], ["D0", "S3", "C39", "C72", "C90", "D0"], ["D0", "C84", "S19", "C33", "C34", "C62", "D0"], ["D0", "C100", "C6", "C8", "S7", "C70", "D0"]]</x:v>
      </x:c>
    </x:row>
    <x:row r="261">
      <x:c r="A261" s="18" t="str">
        <x:v>results/week6/ablation_no_local_search/alns_evrptw_summary.csv</x:v>
      </x:c>
      <x:c r="B261" s="18" t="str">
        <x:v>No_Local_Search</x:v>
      </x:c>
      <x:c r="C261" s="18" t="str">
        <x:v>ALNS_EVRPTW_FULL_RECHARGE</x:v>
      </x:c>
      <x:c r="D261" s="18" t="str">
        <x:v>rc103C15</x:v>
      </x:c>
      <x:c r="E261" s="19" t="n">
        <x:v>65</x:v>
      </x:c>
      <x:c r="F261" s="18" t="str">
        <x:v>RC</x:v>
      </x:c>
      <x:c r="G261" s="19" t="n">
        <x:v>15</x:v>
      </x:c>
      <x:c r="H261" s="18" t="n">
        <x:v>1</x:v>
      </x:c>
      <x:c r="I261" s="19" t="n">
        <x:v>4</x:v>
      </x:c>
      <x:c r="J261" s="20" t="n">
        <x:v>397.669857</x:v>
      </x:c>
      <x:c r="K261" s="20" t="n">
        <x:v>27.736357</x:v>
      </x:c>
      <x:c r="L261" s="19" t="n">
        <x:v>1000</x:v>
      </x:c>
      <x:c r="M261" s="19" t="n">
        <x:v>8</x:v>
      </x:c>
      <x:c r="N261" s="19" t="n">
        <x:v>883</x:v>
      </x:c>
      <x:c r="O261" s="19" t="n">
        <x:v>22</x:v>
      </x:c>
      <x:c r="P261" s="19" t="n">
        <x:v>848</x:v>
      </x:c>
      <x:c r="Q261" s="19" t="n">
        <x:v>13</x:v>
      </x:c>
      <x:c r="R261" s="21" t="n">
        <x:f>P261/L261</x:f>
        <x:v>0.848</x:v>
      </x:c>
      <x:c r="S261" s="18" t="str">
        <x:v>iteration_limit</x:v>
      </x:c>
      <x:c r="T261" s="22" t="b">
        <x:v>0</x:v>
      </x:c>
      <x:c r="U261" s="19" t="n">
        <x:v>0</x:v>
      </x:c>
      <x:c r="V261" s="19" t="n">
        <x:v>0</x:v>
      </x:c>
      <x:c r="W261" s="19" t="n">
        <x:v>0</x:v>
      </x:c>
      <x:c r="X261" s="22" t="b">
        <x:v>0</x:v>
      </x:c>
      <x:c r="Y261" s="20" t="n">
        <x:v>0</x:v>
      </x:c>
      <x:c r="Z261" s="20" t="n">
        <x:v>0</x:v>
      </x:c>
      <x:c r="AA261" s="20" t="n">
        <x:v>0</x:v>
      </x:c>
      <x:c r="AB261" s="20" t="n">
        <x:v>9.161259</x:v>
      </x:c>
      <x:c r="AC261" s="20" t="n">
        <x:v>4</x:v>
      </x:c>
      <x:c r="AD261" s="20" t="n">
        <x:v>70.648986</x:v>
      </x:c>
      <x:c r="AE261" s="20" t="n">
        <x:v>201.597326</x:v>
      </x:c>
      <x:c r="AF261" s="18" t="str">
        <x:v>{"random_removal": 0.027701054620331844, "related_removal": 0.017011215349951356, "worst_removal": 0.025161522115546172}</x:v>
      </x:c>
      <x:c r="AG261" s="18" t="str">
        <x:v>{"greedy_insertion": 0.02626804335358232, "regret_2_insertion": 0.019056070609377713}</x:v>
      </x:c>
      <x:c r="AH261" s="18" t="str">
        <x:v>[["D0", "C65", "C83", "C87", "S11", "C15", "D0"], ["D0", "S3", "C39", "C72", "C90", "D0"], ["D0", "C84", "S19", "C33", "C34", "C62", "D0"], ["D0", "C100", "C6", "C8", "S7", "C70", "D0"]]</x:v>
      </x:c>
    </x:row>
    <x:row r="262">
      <x:c r="A262" s="18" t="str">
        <x:v>results/week6/ablation_no_local_search/alns_evrptw_summary.csv</x:v>
      </x:c>
      <x:c r="B262" s="18" t="str">
        <x:v>No_Local_Search</x:v>
      </x:c>
      <x:c r="C262" s="18" t="str">
        <x:v>ALNS_EVRPTW_FULL_RECHARGE</x:v>
      </x:c>
      <x:c r="D262" s="18" t="str">
        <x:v>rc103C15</x:v>
      </x:c>
      <x:c r="E262" s="19" t="n">
        <x:v>66</x:v>
      </x:c>
      <x:c r="F262" s="18" t="str">
        <x:v>RC</x:v>
      </x:c>
      <x:c r="G262" s="19" t="n">
        <x:v>15</x:v>
      </x:c>
      <x:c r="H262" s="18" t="n">
        <x:v>1</x:v>
      </x:c>
      <x:c r="I262" s="19" t="n">
        <x:v>4</x:v>
      </x:c>
      <x:c r="J262" s="20" t="n">
        <x:v>397.669857</x:v>
      </x:c>
      <x:c r="K262" s="20" t="n">
        <x:v>28.294137</x:v>
      </x:c>
      <x:c r="L262" s="19" t="n">
        <x:v>1000</x:v>
      </x:c>
      <x:c r="M262" s="19" t="n">
        <x:v>16</x:v>
      </x:c>
      <x:c r="N262" s="19" t="n">
        <x:v>885</x:v>
      </x:c>
      <x:c r="O262" s="19" t="n">
        <x:v>16</x:v>
      </x:c>
      <x:c r="P262" s="19" t="n">
        <x:v>860</x:v>
      </x:c>
      <x:c r="Q262" s="19" t="n">
        <x:v>9</x:v>
      </x:c>
      <x:c r="R262" s="21" t="n">
        <x:f>P262/L262</x:f>
        <x:v>0.86</x:v>
      </x:c>
      <x:c r="S262" s="18" t="str">
        <x:v>iteration_limit</x:v>
      </x:c>
      <x:c r="T262" s="22" t="b">
        <x:v>0</x:v>
      </x:c>
      <x:c r="U262" s="19" t="n">
        <x:v>0</x:v>
      </x:c>
      <x:c r="V262" s="19" t="n">
        <x:v>0</x:v>
      </x:c>
      <x:c r="W262" s="19" t="n">
        <x:v>0</x:v>
      </x:c>
      <x:c r="X262" s="22" t="b">
        <x:v>0</x:v>
      </x:c>
      <x:c r="Y262" s="20" t="n">
        <x:v>0</x:v>
      </x:c>
      <x:c r="Z262" s="20" t="n">
        <x:v>0</x:v>
      </x:c>
      <x:c r="AA262" s="20" t="n">
        <x:v>0</x:v>
      </x:c>
      <x:c r="AB262" s="20" t="n">
        <x:v>9.161259</x:v>
      </x:c>
      <x:c r="AC262" s="20" t="n">
        <x:v>4</x:v>
      </x:c>
      <x:c r="AD262" s="20" t="n">
        <x:v>70.648986</x:v>
      </x:c>
      <x:c r="AE262" s="20" t="n">
        <x:v>201.597326</x:v>
      </x:c>
      <x:c r="AF262" s="18" t="str">
        <x:v>{"random_removal": 0.018329455522375113, "related_removal": 0.01973194098236138, "worst_removal": 0.019096667734343025}</x:v>
      </x:c>
      <x:c r="AG262" s="18" t="str">
        <x:v>{"greedy_insertion": 0.019441187453084187, "regret_2_insertion": 0.019150195258520172}</x:v>
      </x:c>
      <x:c r="AH262" s="18" t="str">
        <x:v>[["D0", "C65", "C83", "C87", "S11", "C15", "D0"], ["D0", "C100", "C6", "C8", "S7", "C70", "D0"], ["D0", "S3", "C39", "C72", "C90", "D0"], ["D0", "C84", "S19", "C33", "C34", "C62", "D0"]]</x:v>
      </x:c>
    </x:row>
    <x:row r="263">
      <x:c r="A263" s="18" t="str">
        <x:v>results/week6/ablation_no_local_search/alns_evrptw_summary.csv</x:v>
      </x:c>
      <x:c r="B263" s="18" t="str">
        <x:v>No_Local_Search</x:v>
      </x:c>
      <x:c r="C263" s="18" t="str">
        <x:v>ALNS_EVRPTW_FULL_RECHARGE</x:v>
      </x:c>
      <x:c r="D263" s="18" t="str">
        <x:v>rc204C5</x:v>
      </x:c>
      <x:c r="E263" s="19" t="n">
        <x:v>64</x:v>
      </x:c>
      <x:c r="F263" s="18" t="str">
        <x:v>RC</x:v>
      </x:c>
      <x:c r="G263" s="19" t="n">
        <x:v>5</x:v>
      </x:c>
      <x:c r="H263" s="18" t="n">
        <x:v>1</x:v>
      </x:c>
      <x:c r="I263" s="19" t="n">
        <x:v>1</x:v>
      </x:c>
      <x:c r="J263" s="20" t="n">
        <x:v>185.444295</x:v>
      </x:c>
      <x:c r="K263" s="20" t="n">
        <x:v>2.524417</x:v>
      </x:c>
      <x:c r="L263" s="19" t="n">
        <x:v>1000</x:v>
      </x:c>
      <x:c r="M263" s="19" t="n">
        <x:v>0</x:v>
      </x:c>
      <x:c r="N263" s="19" t="n">
        <x:v>1000</x:v>
      </x:c>
      <x:c r="O263" s="19" t="n">
        <x:v>0</x:v>
      </x:c>
      <x:c r="P263" s="19" t="n">
        <x:v>1000</x:v>
      </x:c>
      <x:c r="Q263" s="19" t="n">
        <x:v>0</x:v>
      </x:c>
      <x:c r="R263" s="21" t="n">
        <x:f>P263/L263</x:f>
        <x:v>1</x:v>
      </x:c>
      <x:c r="S263" s="18" t="str">
        <x:v>iteration_limit</x:v>
      </x:c>
      <x:c r="T263" s="22" t="b">
        <x:v>0</x:v>
      </x:c>
      <x:c r="U263" s="19" t="n">
        <x:v>0</x:v>
      </x:c>
      <x:c r="V263" s="19" t="n">
        <x:v>0</x:v>
      </x:c>
      <x:c r="W263" s="19" t="n">
        <x:v>0</x:v>
      </x:c>
      <x:c r="X263" s="22" t="b">
        <x:v>0</x:v>
      </x:c>
      <x:c r="Y263" s="20" t="n">
        <x:v>0</x:v>
      </x:c>
      <x:c r="Z263" s="20" t="n">
        <x:v>0</x:v>
      </x:c>
      <x:c r="AA263" s="20" t="n">
        <x:v>0</x:v>
      </x:c>
      <x:c r="AB263" s="20" t="n">
        <x:v>5.638974</x:v>
      </x:c>
      <x:c r="AC263" s="20" t="n">
        <x:v>3</x:v>
      </x:c>
      <x:c r="AD263" s="20" t="n">
        <x:v>44.199975</x:v>
      </x:c>
      <x:c r="AE263" s="20" t="n">
        <x:v>478.411243</x:v>
      </x:c>
      <x:c r="AF263" s="18" t="str">
        <x:v>{"random_removal": 0.011529215046068483, "related_removal": 0.011529215046068483, "worst_removal": 0.011529215046068483}</x:v>
      </x:c>
      <x:c r="AG263" s="18" t="str">
        <x:v>{"greedy_insertion": 0.011529215046068483, "regret_2_insertion": 0.011529215046068483}</x:v>
      </x:c>
      <x:c r="AH263" s="18" t="str">
        <x:v>[["D0", "S15", "C49", "C19", "C23", "S15", "C81", "S0", "C4", "D0"]]</x:v>
      </x:c>
    </x:row>
    <x:row r="264">
      <x:c r="A264" s="18" t="str">
        <x:v>results/week6/ablation_no_local_search/alns_evrptw_summary.csv</x:v>
      </x:c>
      <x:c r="B264" s="18" t="str">
        <x:v>No_Local_Search</x:v>
      </x:c>
      <x:c r="C264" s="18" t="str">
        <x:v>ALNS_EVRPTW_FULL_RECHARGE</x:v>
      </x:c>
      <x:c r="D264" s="18" t="str">
        <x:v>rc204C5</x:v>
      </x:c>
      <x:c r="E264" s="19" t="n">
        <x:v>65</x:v>
      </x:c>
      <x:c r="F264" s="18" t="str">
        <x:v>RC</x:v>
      </x:c>
      <x:c r="G264" s="19" t="n">
        <x:v>5</x:v>
      </x:c>
      <x:c r="H264" s="18" t="n">
        <x:v>1</x:v>
      </x:c>
      <x:c r="I264" s="19" t="n">
        <x:v>1</x:v>
      </x:c>
      <x:c r="J264" s="20" t="n">
        <x:v>185.444295</x:v>
      </x:c>
      <x:c r="K264" s="20" t="n">
        <x:v>2.461183</x:v>
      </x:c>
      <x:c r="L264" s="19" t="n">
        <x:v>1000</x:v>
      </x:c>
      <x:c r="M264" s="19" t="n">
        <x:v>0</x:v>
      </x:c>
      <x:c r="N264" s="19" t="n">
        <x:v>1000</x:v>
      </x:c>
      <x:c r="O264" s="19" t="n">
        <x:v>0</x:v>
      </x:c>
      <x:c r="P264" s="19" t="n">
        <x:v>1000</x:v>
      </x:c>
      <x:c r="Q264" s="19" t="n">
        <x:v>0</x:v>
      </x:c>
      <x:c r="R264" s="21" t="n">
        <x:f>P264/L264</x:f>
        <x:v>1</x:v>
      </x:c>
      <x:c r="S264" s="18" t="str">
        <x:v>iteration_limit</x:v>
      </x:c>
      <x:c r="T264" s="22" t="b">
        <x:v>0</x:v>
      </x:c>
      <x:c r="U264" s="19" t="n">
        <x:v>0</x:v>
      </x:c>
      <x:c r="V264" s="19" t="n">
        <x:v>0</x:v>
      </x:c>
      <x:c r="W264" s="19" t="n">
        <x:v>0</x:v>
      </x:c>
      <x:c r="X264" s="22" t="b">
        <x:v>0</x:v>
      </x:c>
      <x:c r="Y264" s="20" t="n">
        <x:v>0</x:v>
      </x:c>
      <x:c r="Z264" s="20" t="n">
        <x:v>0</x:v>
      </x:c>
      <x:c r="AA264" s="20" t="n">
        <x:v>0</x:v>
      </x:c>
      <x:c r="AB264" s="20" t="n">
        <x:v>5.638974</x:v>
      </x:c>
      <x:c r="AC264" s="20" t="n">
        <x:v>3</x:v>
      </x:c>
      <x:c r="AD264" s="20" t="n">
        <x:v>44.199975</x:v>
      </x:c>
      <x:c r="AE264" s="20" t="n">
        <x:v>478.411243</x:v>
      </x:c>
      <x:c r="AF264" s="18" t="str">
        <x:v>{"random_removal": 0.011529215046068483, "related_removal": 0.011529215046068483, "worst_removal": 0.011529215046068483}</x:v>
      </x:c>
      <x:c r="AG264" s="18" t="str">
        <x:v>{"greedy_insertion": 0.011529215046068483, "regret_2_insertion": 0.011529215046068483}</x:v>
      </x:c>
      <x:c r="AH264" s="18" t="str">
        <x:v>[["D0", "S15", "C49", "C19", "C23", "S15", "C81", "S0", "C4", "D0"]]</x:v>
      </x:c>
    </x:row>
    <x:row r="265">
      <x:c r="A265" s="18" t="str">
        <x:v>results/week6/ablation_no_local_search/alns_evrptw_summary.csv</x:v>
      </x:c>
      <x:c r="B265" s="18" t="str">
        <x:v>No_Local_Search</x:v>
      </x:c>
      <x:c r="C265" s="18" t="str">
        <x:v>ALNS_EVRPTW_FULL_RECHARGE</x:v>
      </x:c>
      <x:c r="D265" s="18" t="str">
        <x:v>rc204C5</x:v>
      </x:c>
      <x:c r="E265" s="19" t="n">
        <x:v>66</x:v>
      </x:c>
      <x:c r="F265" s="18" t="str">
        <x:v>RC</x:v>
      </x:c>
      <x:c r="G265" s="19" t="n">
        <x:v>5</x:v>
      </x:c>
      <x:c r="H265" s="18" t="n">
        <x:v>1</x:v>
      </x:c>
      <x:c r="I265" s="19" t="n">
        <x:v>1</x:v>
      </x:c>
      <x:c r="J265" s="20" t="n">
        <x:v>185.444295</x:v>
      </x:c>
      <x:c r="K265" s="20" t="n">
        <x:v>2.539709</x:v>
      </x:c>
      <x:c r="L265" s="19" t="n">
        <x:v>1000</x:v>
      </x:c>
      <x:c r="M265" s="19" t="n">
        <x:v>0</x:v>
      </x:c>
      <x:c r="N265" s="19" t="n">
        <x:v>1000</x:v>
      </x:c>
      <x:c r="O265" s="19" t="n">
        <x:v>0</x:v>
      </x:c>
      <x:c r="P265" s="19" t="n">
        <x:v>1000</x:v>
      </x:c>
      <x:c r="Q265" s="19" t="n">
        <x:v>0</x:v>
      </x:c>
      <x:c r="R265" s="21" t="n">
        <x:f>P265/L265</x:f>
        <x:v>1</x:v>
      </x:c>
      <x:c r="S265" s="18" t="str">
        <x:v>iteration_limit</x:v>
      </x:c>
      <x:c r="T265" s="22" t="b">
        <x:v>0</x:v>
      </x:c>
      <x:c r="U265" s="19" t="n">
        <x:v>0</x:v>
      </x:c>
      <x:c r="V265" s="19" t="n">
        <x:v>0</x:v>
      </x:c>
      <x:c r="W265" s="19" t="n">
        <x:v>0</x:v>
      </x:c>
      <x:c r="X265" s="22" t="b">
        <x:v>0</x:v>
      </x:c>
      <x:c r="Y265" s="20" t="n">
        <x:v>0</x:v>
      </x:c>
      <x:c r="Z265" s="20" t="n">
        <x:v>0</x:v>
      </x:c>
      <x:c r="AA265" s="20" t="n">
        <x:v>0</x:v>
      </x:c>
      <x:c r="AB265" s="20" t="n">
        <x:v>5.638974</x:v>
      </x:c>
      <x:c r="AC265" s="20" t="n">
        <x:v>3</x:v>
      </x:c>
      <x:c r="AD265" s="20" t="n">
        <x:v>44.199975</x:v>
      </x:c>
      <x:c r="AE265" s="20" t="n">
        <x:v>478.411243</x:v>
      </x:c>
      <x:c r="AF265" s="18" t="str">
        <x:v>{"random_removal": 0.011529215046068483, "related_removal": 0.011529215046068483, "worst_removal": 0.011529215046068483}</x:v>
      </x:c>
      <x:c r="AG265" s="18" t="str">
        <x:v>{"greedy_insertion": 0.011529215046068483, "regret_2_insertion": 0.011529215046068483}</x:v>
      </x:c>
      <x:c r="AH265" s="18" t="str">
        <x:v>[["D0", "S15", "C49", "C19", "C23", "S15", "C81", "S0", "C4", "D0"]]</x:v>
      </x:c>
    </x:row>
    <x:row r="266">
      <x:c r="A266" s="18" t="str">
        <x:v>results/week6/ablation_no_local_search/alns_evrptw_summary.csv</x:v>
      </x:c>
      <x:c r="B266" s="18" t="str">
        <x:v>No_Local_Search</x:v>
      </x:c>
      <x:c r="C266" s="18" t="str">
        <x:v>ALNS_EVRPTW_FULL_RECHARGE</x:v>
      </x:c>
      <x:c r="D266" s="18" t="str">
        <x:v>rc201C10</x:v>
      </x:c>
      <x:c r="E266" s="19" t="n">
        <x:v>64</x:v>
      </x:c>
      <x:c r="F266" s="18" t="str">
        <x:v>RC</x:v>
      </x:c>
      <x:c r="G266" s="19" t="n">
        <x:v>10</x:v>
      </x:c>
      <x:c r="H266" s="18" t="n">
        <x:v>1</x:v>
      </x:c>
      <x:c r="I266" s="19" t="n">
        <x:v>1</x:v>
      </x:c>
      <x:c r="J266" s="20" t="n">
        <x:v>412.861395</x:v>
      </x:c>
      <x:c r="K266" s="20" t="n">
        <x:v>11.976199</x:v>
      </x:c>
      <x:c r="L266" s="19" t="n">
        <x:v>1000</x:v>
      </x:c>
      <x:c r="M266" s="19" t="n">
        <x:v>0</x:v>
      </x:c>
      <x:c r="N266" s="19" t="n">
        <x:v>989</x:v>
      </x:c>
      <x:c r="O266" s="19" t="n">
        <x:v>0</x:v>
      </x:c>
      <x:c r="P266" s="19" t="n">
        <x:v>989</x:v>
      </x:c>
      <x:c r="Q266" s="19" t="n">
        <x:v>0</x:v>
      </x:c>
      <x:c r="R266" s="21" t="n">
        <x:f>P266/L266</x:f>
        <x:v>0.989</x:v>
      </x:c>
      <x:c r="S266" s="18" t="str">
        <x:v>iteration_limit</x:v>
      </x:c>
      <x:c r="T266" s="22" t="b">
        <x:v>0</x:v>
      </x:c>
      <x:c r="U266" s="19" t="n">
        <x:v>0</x:v>
      </x:c>
      <x:c r="V266" s="19" t="n">
        <x:v>0</x:v>
      </x:c>
      <x:c r="W266" s="19" t="n">
        <x:v>0</x:v>
      </x:c>
      <x:c r="X266" s="22" t="b">
        <x:v>0</x:v>
      </x:c>
      <x:c r="Y266" s="20" t="n">
        <x:v>0</x:v>
      </x:c>
      <x:c r="Z266" s="20" t="n">
        <x:v>0</x:v>
      </x:c>
      <x:c r="AA266" s="20" t="n">
        <x:v>0</x:v>
      </x:c>
      <x:c r="AB266" s="20" t="n">
        <x:v>0.919251</x:v>
      </x:c>
      <x:c r="AC266" s="20" t="n">
        <x:v>6</x:v>
      </x:c>
      <x:c r="AD266" s="20" t="n">
        <x:v>134.878643</x:v>
      </x:c>
      <x:c r="AE266" s="20" t="n">
        <x:v>158.301557</x:v>
      </x:c>
      <x:c r="AF266" s="18" t="str">
        <x:v>{"random_removal": 0.011529215046068483, "related_removal": 0.011529215046068483, "worst_removal": 0.011529215046068483}</x:v>
      </x:c>
      <x:c r="AG266" s="18" t="str">
        <x:v>{"greedy_insertion": 0.011529215046068483, "regret_2_insertion": 0.011529215046068483}</x:v>
      </x:c>
      <x:c r="AH266" s="18" t="str">
        <x:v>[["D0", "S9", "C79", "C43", "S3", "C62", "S0", "C98", "C14", "S0", "C93", "C54", "S0", "C88", "S15", "C22", "C81", "D0"]]</x:v>
      </x:c>
    </x:row>
    <x:row r="267">
      <x:c r="A267" s="18" t="str">
        <x:v>results/week6/ablation_no_local_search/alns_evrptw_summary.csv</x:v>
      </x:c>
      <x:c r="B267" s="18" t="str">
        <x:v>No_Local_Search</x:v>
      </x:c>
      <x:c r="C267" s="18" t="str">
        <x:v>ALNS_EVRPTW_FULL_RECHARGE</x:v>
      </x:c>
      <x:c r="D267" s="18" t="str">
        <x:v>rc201C10</x:v>
      </x:c>
      <x:c r="E267" s="19" t="n">
        <x:v>65</x:v>
      </x:c>
      <x:c r="F267" s="18" t="str">
        <x:v>RC</x:v>
      </x:c>
      <x:c r="G267" s="19" t="n">
        <x:v>10</x:v>
      </x:c>
      <x:c r="H267" s="18" t="n">
        <x:v>1</x:v>
      </x:c>
      <x:c r="I267" s="19" t="n">
        <x:v>1</x:v>
      </x:c>
      <x:c r="J267" s="20" t="n">
        <x:v>412.861395</x:v>
      </x:c>
      <x:c r="K267" s="20" t="n">
        <x:v>11.914961</x:v>
      </x:c>
      <x:c r="L267" s="19" t="n">
        <x:v>1000</x:v>
      </x:c>
      <x:c r="M267" s="19" t="n">
        <x:v>0</x:v>
      </x:c>
      <x:c r="N267" s="19" t="n">
        <x:v>996</x:v>
      </x:c>
      <x:c r="O267" s="19" t="n">
        <x:v>0</x:v>
      </x:c>
      <x:c r="P267" s="19" t="n">
        <x:v>996</x:v>
      </x:c>
      <x:c r="Q267" s="19" t="n">
        <x:v>0</x:v>
      </x:c>
      <x:c r="R267" s="21" t="n">
        <x:f>P267/L267</x:f>
        <x:v>0.996</x:v>
      </x:c>
      <x:c r="S267" s="18" t="str">
        <x:v>iteration_limit</x:v>
      </x:c>
      <x:c r="T267" s="22" t="b">
        <x:v>0</x:v>
      </x:c>
      <x:c r="U267" s="19" t="n">
        <x:v>0</x:v>
      </x:c>
      <x:c r="V267" s="19" t="n">
        <x:v>0</x:v>
      </x:c>
      <x:c r="W267" s="19" t="n">
        <x:v>0</x:v>
      </x:c>
      <x:c r="X267" s="22" t="b">
        <x:v>0</x:v>
      </x:c>
      <x:c r="Y267" s="20" t="n">
        <x:v>0</x:v>
      </x:c>
      <x:c r="Z267" s="20" t="n">
        <x:v>0</x:v>
      </x:c>
      <x:c r="AA267" s="20" t="n">
        <x:v>0</x:v>
      </x:c>
      <x:c r="AB267" s="20" t="n">
        <x:v>0.919251</x:v>
      </x:c>
      <x:c r="AC267" s="20" t="n">
        <x:v>6</x:v>
      </x:c>
      <x:c r="AD267" s="20" t="n">
        <x:v>134.878643</x:v>
      </x:c>
      <x:c r="AE267" s="20" t="n">
        <x:v>158.301557</x:v>
      </x:c>
      <x:c r="AF267" s="18" t="str">
        <x:v>{"random_removal": 0.011529215046068483, "related_removal": 0.011529215046068483, "worst_removal": 0.011529215046068483}</x:v>
      </x:c>
      <x:c r="AG267" s="18" t="str">
        <x:v>{"greedy_insertion": 0.011529215046068483, "regret_2_insertion": 0.011529215046068483}</x:v>
      </x:c>
      <x:c r="AH267" s="18" t="str">
        <x:v>[["D0", "S9", "C79", "C43", "S3", "C62", "S0", "C98", "C14", "S0", "C93", "C54", "S0", "C88", "S15", "C22", "C81", "D0"]]</x:v>
      </x:c>
    </x:row>
    <x:row r="268">
      <x:c r="A268" s="18" t="str">
        <x:v>results/week6/ablation_no_local_search/alns_evrptw_summary.csv</x:v>
      </x:c>
      <x:c r="B268" s="18" t="str">
        <x:v>No_Local_Search</x:v>
      </x:c>
      <x:c r="C268" s="18" t="str">
        <x:v>ALNS_EVRPTW_FULL_RECHARGE</x:v>
      </x:c>
      <x:c r="D268" s="18" t="str">
        <x:v>rc201C10</x:v>
      </x:c>
      <x:c r="E268" s="19" t="n">
        <x:v>66</x:v>
      </x:c>
      <x:c r="F268" s="18" t="str">
        <x:v>RC</x:v>
      </x:c>
      <x:c r="G268" s="19" t="n">
        <x:v>10</x:v>
      </x:c>
      <x:c r="H268" s="18" t="n">
        <x:v>1</x:v>
      </x:c>
      <x:c r="I268" s="19" t="n">
        <x:v>1</x:v>
      </x:c>
      <x:c r="J268" s="20" t="n">
        <x:v>412.861395</x:v>
      </x:c>
      <x:c r="K268" s="20" t="n">
        <x:v>11.926088</x:v>
      </x:c>
      <x:c r="L268" s="19" t="n">
        <x:v>1000</x:v>
      </x:c>
      <x:c r="M268" s="19" t="n">
        <x:v>0</x:v>
      </x:c>
      <x:c r="N268" s="19" t="n">
        <x:v>994</x:v>
      </x:c>
      <x:c r="O268" s="19" t="n">
        <x:v>0</x:v>
      </x:c>
      <x:c r="P268" s="19" t="n">
        <x:v>994</x:v>
      </x:c>
      <x:c r="Q268" s="19" t="n">
        <x:v>0</x:v>
      </x:c>
      <x:c r="R268" s="21" t="n">
        <x:f>P268/L268</x:f>
        <x:v>0.994</x:v>
      </x:c>
      <x:c r="S268" s="18" t="str">
        <x:v>iteration_limit</x:v>
      </x:c>
      <x:c r="T268" s="22" t="b">
        <x:v>0</x:v>
      </x:c>
      <x:c r="U268" s="19" t="n">
        <x:v>0</x:v>
      </x:c>
      <x:c r="V268" s="19" t="n">
        <x:v>0</x:v>
      </x:c>
      <x:c r="W268" s="19" t="n">
        <x:v>0</x:v>
      </x:c>
      <x:c r="X268" s="22" t="b">
        <x:v>0</x:v>
      </x:c>
      <x:c r="Y268" s="20" t="n">
        <x:v>0</x:v>
      </x:c>
      <x:c r="Z268" s="20" t="n">
        <x:v>0</x:v>
      </x:c>
      <x:c r="AA268" s="20" t="n">
        <x:v>0</x:v>
      </x:c>
      <x:c r="AB268" s="20" t="n">
        <x:v>0.919251</x:v>
      </x:c>
      <x:c r="AC268" s="20" t="n">
        <x:v>6</x:v>
      </x:c>
      <x:c r="AD268" s="20" t="n">
        <x:v>134.878643</x:v>
      </x:c>
      <x:c r="AE268" s="20" t="n">
        <x:v>158.301557</x:v>
      </x:c>
      <x:c r="AF268" s="18" t="str">
        <x:v>{"random_removal": 0.011529215046068483, "related_removal": 0.011529215046068483, "worst_removal": 0.011529215046068483}</x:v>
      </x:c>
      <x:c r="AG268" s="18" t="str">
        <x:v>{"greedy_insertion": 0.011529215046068483, "regret_2_insertion": 0.011529215046068483}</x:v>
      </x:c>
      <x:c r="AH268" s="18" t="str">
        <x:v>[["D0", "S9", "C79", "C43", "S3", "C62", "S0", "C98", "C14", "S0", "C93", "C54", "S0", "C88", "S15", "C22", "C81", "D0"]]</x:v>
      </x:c>
    </x:row>
    <x:row r="269">
      <x:c r="A269" s="18" t="str">
        <x:v>results/week6/ablation_no_local_search/alns_evrptw_summary.csv</x:v>
      </x:c>
      <x:c r="B269" s="18" t="str">
        <x:v>No_Local_Search</x:v>
      </x:c>
      <x:c r="C269" s="18" t="str">
        <x:v>ALNS_EVRPTW_FULL_RECHARGE</x:v>
      </x:c>
      <x:c r="D269" s="18" t="str">
        <x:v>rc202C15</x:v>
      </x:c>
      <x:c r="E269" s="19" t="n">
        <x:v>64</x:v>
      </x:c>
      <x:c r="F269" s="18" t="str">
        <x:v>RC</x:v>
      </x:c>
      <x:c r="G269" s="19" t="n">
        <x:v>15</x:v>
      </x:c>
      <x:c r="H269" s="18" t="n">
        <x:v>1</x:v>
      </x:c>
      <x:c r="I269" s="19" t="n">
        <x:v>2</x:v>
      </x:c>
      <x:c r="J269" s="20" t="n">
        <x:v>394.387139</x:v>
      </x:c>
      <x:c r="K269" s="20" t="n">
        <x:v>69.111805</x:v>
      </x:c>
      <x:c r="L269" s="19" t="n">
        <x:v>1000</x:v>
      </x:c>
      <x:c r="M269" s="19" t="n">
        <x:v>455</x:v>
      </x:c>
      <x:c r="N269" s="19" t="n">
        <x:v>830</x:v>
      </x:c>
      <x:c r="O269" s="19" t="n">
        <x:v>10</x:v>
      </x:c>
      <x:c r="P269" s="19" t="n">
        <x:v>817</x:v>
      </x:c>
      <x:c r="Q269" s="19" t="n">
        <x:v>3</x:v>
      </x:c>
      <x:c r="R269" s="21" t="n">
        <x:f>P269/L269</x:f>
        <x:v>0.817</x:v>
      </x:c>
      <x:c r="S269" s="18" t="str">
        <x:v>iteration_limit</x:v>
      </x:c>
      <x:c r="T269" s="22" t="b">
        <x:v>0</x:v>
      </x:c>
      <x:c r="U269" s="19" t="n">
        <x:v>0</x:v>
      </x:c>
      <x:c r="V269" s="19" t="n">
        <x:v>0</x:v>
      </x:c>
      <x:c r="W269" s="19" t="n">
        <x:v>0</x:v>
      </x:c>
      <x:c r="X269" s="22" t="b">
        <x:v>0</x:v>
      </x:c>
      <x:c r="Y269" s="20" t="n">
        <x:v>0</x:v>
      </x:c>
      <x:c r="Z269" s="20" t="n">
        <x:v>0</x:v>
      </x:c>
      <x:c r="AA269" s="20" t="n">
        <x:v>0</x:v>
      </x:c>
      <x:c r="AB269" s="20" t="n">
        <x:v>5.2188</x:v>
      </x:c>
      <x:c r="AC269" s="20" t="n">
        <x:v>6</x:v>
      </x:c>
      <x:c r="AD269" s="20" t="n">
        <x:v>109.775784</x:v>
      </x:c>
      <x:c r="AE269" s="20" t="n">
        <x:v>978.697585</x:v>
      </x:c>
      <x:c r="AF269" s="18" t="str">
        <x:v>{"random_removal": 0.025491419801352944, "related_removal": 0.015769148167657437, "worst_removal": 0.014218287438958253}</x:v>
      </x:c>
      <x:c r="AG269" s="18" t="str">
        <x:v>{"greedy_insertion": 0.01271945209044497, "regret_2_insertion": 0.02342531915986088}</x:v>
      </x:c>
      <x:c r="AH269" s="18" t="str">
        <x:v>[["D0", "C90", "C57", "S13", "C47", "C11", "S13", "C52", "C95", "C64", "S16", "C18", "S16", "C50", "D0"], ["D0", "C43", "S3", "C37", "C72", "C1", "S7", "C45", "C46", "D0"]]</x:v>
      </x:c>
    </x:row>
    <x:row r="270">
      <x:c r="A270" s="18" t="str">
        <x:v>results/week6/ablation_no_local_search/alns_evrptw_summary.csv</x:v>
      </x:c>
      <x:c r="B270" s="18" t="str">
        <x:v>No_Local_Search</x:v>
      </x:c>
      <x:c r="C270" s="18" t="str">
        <x:v>ALNS_EVRPTW_FULL_RECHARGE</x:v>
      </x:c>
      <x:c r="D270" s="18" t="str">
        <x:v>rc202C15</x:v>
      </x:c>
      <x:c r="E270" s="19" t="n">
        <x:v>65</x:v>
      </x:c>
      <x:c r="F270" s="18" t="str">
        <x:v>RC</x:v>
      </x:c>
      <x:c r="G270" s="19" t="n">
        <x:v>15</x:v>
      </x:c>
      <x:c r="H270" s="18" t="n">
        <x:v>1</x:v>
      </x:c>
      <x:c r="I270" s="19" t="n">
        <x:v>2</x:v>
      </x:c>
      <x:c r="J270" s="20" t="n">
        <x:v>457.909313</x:v>
      </x:c>
      <x:c r="K270" s="20" t="n">
        <x:v>66.876039</x:v>
      </x:c>
      <x:c r="L270" s="19" t="n">
        <x:v>1000</x:v>
      </x:c>
      <x:c r="M270" s="19" t="n">
        <x:v>73</x:v>
      </x:c>
      <x:c r="N270" s="19" t="n">
        <x:v>747</x:v>
      </x:c>
      <x:c r="O270" s="19" t="n">
        <x:v>23</x:v>
      </x:c>
      <x:c r="P270" s="19" t="n">
        <x:v>712</x:v>
      </x:c>
      <x:c r="Q270" s="19" t="n">
        <x:v>12</x:v>
      </x:c>
      <x:c r="R270" s="21" t="n">
        <x:f>P270/L270</x:f>
        <x:v>0.712</x:v>
      </x:c>
      <x:c r="S270" s="18" t="str">
        <x:v>iteration_limit</x:v>
      </x:c>
      <x:c r="T270" s="22" t="b">
        <x:v>0</x:v>
      </x:c>
      <x:c r="U270" s="19" t="n">
        <x:v>0</x:v>
      </x:c>
      <x:c r="V270" s="19" t="n">
        <x:v>0</x:v>
      </x:c>
      <x:c r="W270" s="19" t="n">
        <x:v>0</x:v>
      </x:c>
      <x:c r="X270" s="22" t="b">
        <x:v>0</x:v>
      </x:c>
      <x:c r="Y270" s="20" t="n">
        <x:v>0</x:v>
      </x:c>
      <x:c r="Z270" s="20" t="n">
        <x:v>0</x:v>
      </x:c>
      <x:c r="AA270" s="20" t="n">
        <x:v>0</x:v>
      </x:c>
      <x:c r="AB270" s="20" t="n">
        <x:v>5.2188</x:v>
      </x:c>
      <x:c r="AC270" s="20" t="n">
        <x:v>6</x:v>
      </x:c>
      <x:c r="AD270" s="20" t="n">
        <x:v>134.549432</x:v>
      </x:c>
      <x:c r="AE270" s="20" t="n">
        <x:v>878.084599</x:v>
      </x:c>
      <x:c r="AF270" s="18" t="str">
        <x:v>{"random_removal": 0.019292499899529733, "related_removal": 0.02829813339538082, "worst_removal": 0.016284044887946224}</x:v>
      </x:c>
      <x:c r="AG270" s="18" t="str">
        <x:v>{"greedy_insertion": 0.022504177020924023, "regret_2_insertion": 0.018041405470906057}</x:v>
      </x:c>
      <x:c r="AH270" s="18" t="str">
        <x:v>[["D0", "C90", "C57", "C18", "S16", "C50", "D0"], ["D0", "C43", "S3", "C37", "C72", "C1", "S7", "C47", "C11", "S13", "C52", "C95", "C64", "S0", "S7", "C45", "C46", "D0"]]</x:v>
      </x:c>
    </x:row>
    <x:row r="271">
      <x:c r="A271" s="18" t="str">
        <x:v>results/week6/ablation_no_local_search/alns_evrptw_summary.csv</x:v>
      </x:c>
      <x:c r="B271" s="18" t="str">
        <x:v>No_Local_Search</x:v>
      </x:c>
      <x:c r="C271" s="18" t="str">
        <x:v>ALNS_EVRPTW_FULL_RECHARGE</x:v>
      </x:c>
      <x:c r="D271" s="18" t="str">
        <x:v>rc202C15</x:v>
      </x:c>
      <x:c r="E271" s="19" t="n">
        <x:v>66</x:v>
      </x:c>
      <x:c r="F271" s="18" t="str">
        <x:v>RC</x:v>
      </x:c>
      <x:c r="G271" s="19" t="n">
        <x:v>15</x:v>
      </x:c>
      <x:c r="H271" s="18" t="n">
        <x:v>1</x:v>
      </x:c>
      <x:c r="I271" s="19" t="n">
        <x:v>2</x:v>
      </x:c>
      <x:c r="J271" s="20" t="n">
        <x:v>394.387139</x:v>
      </x:c>
      <x:c r="K271" s="20" t="n">
        <x:v>74.821037</x:v>
      </x:c>
      <x:c r="L271" s="19" t="n">
        <x:v>1000</x:v>
      </x:c>
      <x:c r="M271" s="19" t="n">
        <x:v>58</x:v>
      </x:c>
      <x:c r="N271" s="19" t="n">
        <x:v>789</x:v>
      </x:c>
      <x:c r="O271" s="19" t="n">
        <x:v>7</x:v>
      </x:c>
      <x:c r="P271" s="19" t="n">
        <x:v>779</x:v>
      </x:c>
      <x:c r="Q271" s="19" t="n">
        <x:v>3</x:v>
      </x:c>
      <x:c r="R271" s="21" t="n">
        <x:f>P271/L271</x:f>
        <x:v>0.779</x:v>
      </x:c>
      <x:c r="S271" s="18" t="str">
        <x:v>iteration_limit</x:v>
      </x:c>
      <x:c r="T271" s="22" t="b">
        <x:v>0</x:v>
      </x:c>
      <x:c r="U271" s="19" t="n">
        <x:v>0</x:v>
      </x:c>
      <x:c r="V271" s="19" t="n">
        <x:v>0</x:v>
      </x:c>
      <x:c r="W271" s="19" t="n">
        <x:v>0</x:v>
      </x:c>
      <x:c r="X271" s="22" t="b">
        <x:v>0</x:v>
      </x:c>
      <x:c r="Y271" s="20" t="n">
        <x:v>0</x:v>
      </x:c>
      <x:c r="Z271" s="20" t="n">
        <x:v>0</x:v>
      </x:c>
      <x:c r="AA271" s="20" t="n">
        <x:v>0</x:v>
      </x:c>
      <x:c r="AB271" s="20" t="n">
        <x:v>5.2188</x:v>
      </x:c>
      <x:c r="AC271" s="20" t="n">
        <x:v>6</x:v>
      </x:c>
      <x:c r="AD271" s="20" t="n">
        <x:v>109.775784</x:v>
      </x:c>
      <x:c r="AE271" s="20" t="n">
        <x:v>978.697585</x:v>
      </x:c>
      <x:c r="AF271" s="18" t="str">
        <x:v>{"random_removal": 0.015292222734715833, "related_removal": 0.011529215046068483, "worst_removal": 0.015241656002057638}</x:v>
      </x:c>
      <x:c r="AG271" s="18" t="str">
        <x:v>{"greedy_insertion": 0.013718131924245223, "regret_2_insertion": 0.01405147948333812}</x:v>
      </x:c>
      <x:c r="AH271" s="18" t="str">
        <x:v>[["D0", "C90", "C57", "S13", "C11", "C47", "S13", "C52", "C95", "C64", "S16", "C18", "S16", "C50", "D0"], ["D0", "C43", "S3", "C37", "C72", "C1", "S7", "C45", "C46", "D0"]]</x:v>
      </x:c>
    </x:row>
  </x:sheetData>
  <x:pageMargins left="0.7" right="0.7" top="0.75" bottom="0.75" header="0.3" footer="0.3"/>
  <x:tableParts count="1">
    <x:tablePart xmlns:r="http://schemas.openxmlformats.org/officeDocument/2006/relationships" r:id="R58cd34f085cc4ee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8" hidden="0" customWidth="1"/>
  </x:cols>
  <x:sheetData>
    <x:row r="1" ht="30" customHeight="1">
      <x:c r="A1" s="4" t="str">
        <x:v>Week 6 analysis protocol</x:v>
      </x:c>
      <x:c r="B1" s="4"/>
    </x:row>
    <x:row r="3" ht="28" customHeight="1">
      <x:c r="A3" s="10" t="str">
        <x:v>Item</x:v>
      </x:c>
      <x:c r="B3" s="10" t="str">
        <x:v>Definition</x:v>
      </x:c>
    </x:row>
    <x:row r="4">
      <x:c r="A4" s="11" t="str">
        <x:v>Formal run count</x:v>
      </x:c>
      <x:c r="B4" s="12" t="n">
        <x:v>270</x:v>
      </x:c>
    </x:row>
    <x:row r="5">
      <x:c r="A5" s="11" t="str">
        <x:v>Experimental unit</x:v>
      </x:c>
      <x:c r="B5" s="12" t="str">
        <x:v>18 benchmark instances</x:v>
      </x:c>
    </x:row>
    <x:row r="6">
      <x:c r="A6" s="11" t="str">
        <x:v>Within-instance repeats</x:v>
      </x:c>
      <x:c r="B6" s="12" t="str">
        <x:v>Seeds 64, 65, 66</x:v>
      </x:c>
    </x:row>
    <x:row r="7">
      <x:c r="A7" s="11" t="str">
        <x:v>Primary objective</x:v>
      </x:c>
      <x:c r="B7" s="12" t="str">
        <x:v>Lexicographic: fewer vehicles first, then shorter distance</x:v>
      </x:c>
    </x:row>
    <x:row r="8">
      <x:c r="A8" s="11" t="str">
        <x:v>Distance comparison</x:v>
      </x:c>
      <x:c r="B8" s="12" t="str">
        <x:v>Interpret directly only when vehicle counts are equal</x:v>
      </x:c>
    </x:row>
    <x:row r="9">
      <x:c r="A9" s="11" t="str">
        <x:v>Feasibility</x:v>
      </x:c>
      <x:c r="B9" s="12" t="str">
        <x:v>Coverage + route structure + capacity + time windows; EV methods also enforce energy</x:v>
      </x:c>
    </x:row>
    <x:row r="10">
      <x:c r="A10" s="11" t="str">
        <x:v>GA baseline</x:v>
      </x:c>
      <x:c r="B10" s="12" t="str">
        <x:v>Historical only; different data, objective, and feasibility status</x:v>
      </x:c>
    </x:row>
    <x:row r="11">
      <x:c r="A11" s="11" t="str">
        <x:v>Old pilot outputs</x:v>
      </x:c>
      <x:c r="B11" s="12" t="str">
        <x:v>Excluded: results/week6/main, smoke, smoke_fixed, and root CSVs</x:v>
      </x:c>
    </x:row>
    <x:row r="12">
      <x:c r="A12" s="11" t="str">
        <x:v>Formal sources</x:v>
      </x:c>
      <x:c r="B12" s="12" t="str">
        <x:v>main_fixed1000 and the three ablation directories</x:v>
      </x:c>
    </x:row>
    <x:row r="13">
      <x:c r="A13" s="11" t="str">
        <x:v>Comparison tolerance</x:v>
      </x:c>
      <x:c r="B13" s="13" t="n">
        <x:v>0.000001</x:v>
      </x:c>
    </x:row>
  </x:sheetData>
  <x:mergeCells>
    <x:mergeCell ref="A1:B1"/>
  </x:mergeCells>
  <x:pageMargins left="0.7" right="0.7" top="0.75" bottom="0.75" header="0.3" footer="0.3"/>
</x:worksheet>
</file>